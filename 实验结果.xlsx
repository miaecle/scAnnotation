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hku summer intern\"/>
    </mc:Choice>
  </mc:AlternateContent>
  <xr:revisionPtr revIDLastSave="0" documentId="13_ncr:1_{D3CEEEAE-BDCD-4649-821D-20E8090A2336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gemini3.5flash(old)" sheetId="1" r:id="rId1"/>
    <sheet name="deepseek4flash(old)" sheetId="2" r:id="rId2"/>
    <sheet name="pbmc20(old)" sheetId="4" r:id="rId3"/>
    <sheet name="hlca(old)" sheetId="3" r:id="rId4"/>
    <sheet name="pbmc_new" sheetId="5" r:id="rId5"/>
    <sheet name="hlca_new" sheetId="7" r:id="rId6"/>
    <sheet name="est. pric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6" l="1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9" i="6"/>
  <c r="D9" i="6"/>
  <c r="C9" i="6"/>
  <c r="B9" i="6"/>
  <c r="F8" i="6"/>
  <c r="F7" i="6"/>
  <c r="F6" i="6"/>
  <c r="E62" i="5"/>
  <c r="D62" i="5"/>
  <c r="C62" i="5"/>
  <c r="B62" i="5"/>
  <c r="F61" i="5"/>
  <c r="F60" i="5"/>
  <c r="F59" i="5"/>
  <c r="C60" i="2"/>
  <c r="D60" i="2"/>
  <c r="E60" i="2"/>
  <c r="F7" i="2"/>
  <c r="F9" i="2"/>
  <c r="F11" i="2"/>
  <c r="F12" i="2"/>
  <c r="F10" i="2"/>
  <c r="F8" i="2"/>
  <c r="E71" i="5" l="1"/>
  <c r="E69" i="5"/>
  <c r="E68" i="5"/>
  <c r="E70" i="5"/>
  <c r="E72" i="5"/>
  <c r="E73" i="5"/>
  <c r="E74" i="5"/>
  <c r="E75" i="5"/>
  <c r="E76" i="5"/>
  <c r="E77" i="5"/>
  <c r="E78" i="5"/>
  <c r="E79" i="5"/>
  <c r="E67" i="5"/>
  <c r="E80" i="5" l="1"/>
</calcChain>
</file>

<file path=xl/sharedStrings.xml><?xml version="1.0" encoding="utf-8"?>
<sst xmlns="http://schemas.openxmlformats.org/spreadsheetml/2006/main" count="827" uniqueCount="446">
  <si>
    <t>每个l2 cell type抽样一个cell</t>
    <phoneticPr fontId="1" type="noConversion"/>
  </si>
  <si>
    <t>single cell</t>
    <phoneticPr fontId="1" type="noConversion"/>
  </si>
  <si>
    <t>expr</t>
    <phoneticPr fontId="1" type="noConversion"/>
  </si>
  <si>
    <t>zscore</t>
    <phoneticPr fontId="1" type="noConversion"/>
  </si>
  <si>
    <t>tfidf</t>
    <phoneticPr fontId="1" type="noConversion"/>
  </si>
  <si>
    <t>knn(k=20)</t>
    <phoneticPr fontId="1" type="noConversion"/>
  </si>
  <si>
    <t>pseudobluk</t>
    <phoneticPr fontId="1" type="noConversion"/>
  </si>
  <si>
    <t>exact</t>
    <phoneticPr fontId="1" type="noConversion"/>
  </si>
  <si>
    <t>keyword</t>
    <phoneticPr fontId="1" type="noConversion"/>
  </si>
  <si>
    <t>llm_judge</t>
    <phoneticPr fontId="1" type="noConversion"/>
  </si>
  <si>
    <t>0.6774/0.6774</t>
    <phoneticPr fontId="1" type="noConversion"/>
  </si>
  <si>
    <t>0.0645/0.0322</t>
    <phoneticPr fontId="1" type="noConversion"/>
  </si>
  <si>
    <t>0.7419/0.7419</t>
    <phoneticPr fontId="1" type="noConversion"/>
  </si>
  <si>
    <t>0.8225/0.8225</t>
    <phoneticPr fontId="1" type="noConversion"/>
  </si>
  <si>
    <t>0.0322/0.0000</t>
    <phoneticPr fontId="1" type="noConversion"/>
  </si>
  <si>
    <t>0.0000/0.0000</t>
    <phoneticPr fontId="1" type="noConversion"/>
  </si>
  <si>
    <t>0.0000/0.0322</t>
    <phoneticPr fontId="1" type="noConversion"/>
  </si>
  <si>
    <t>stage1/stage2</t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</si>
  <si>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0.7258</t>
    </r>
    <r>
      <rPr>
        <sz val="11"/>
        <color theme="1"/>
        <rFont val="等线"/>
        <family val="2"/>
        <scheme val="minor"/>
      </rPr>
      <t>/0.8064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</si>
  <si>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0.7419</t>
    </r>
    <r>
      <rPr>
        <sz val="11"/>
        <color theme="1"/>
        <rFont val="等线"/>
        <family val="2"/>
        <scheme val="minor"/>
      </rPr>
      <t>/0.8709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</si>
  <si>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0.6774</t>
    </r>
    <r>
      <rPr>
        <sz val="11"/>
        <color theme="1"/>
        <rFont val="等线"/>
        <family val="2"/>
        <scheme val="minor"/>
      </rPr>
      <t>/0.7903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</si>
  <si>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0.7419</t>
    </r>
    <r>
      <rPr>
        <sz val="11"/>
        <color theme="1"/>
        <rFont val="等线"/>
        <family val="2"/>
        <scheme val="minor"/>
      </rPr>
      <t>/0.7903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</si>
  <si>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0.6935</t>
    </r>
    <r>
      <rPr>
        <sz val="11"/>
        <color theme="1"/>
        <rFont val="等线"/>
        <family val="2"/>
        <scheme val="minor"/>
      </rPr>
      <t>/0.9032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</si>
  <si>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0.8548</t>
    </r>
    <r>
      <rPr>
        <sz val="11"/>
        <color theme="1"/>
        <rFont val="等线"/>
        <family val="2"/>
        <scheme val="minor"/>
      </rPr>
      <t>/0.9354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</si>
  <si>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0.8064</t>
    </r>
    <r>
      <rPr>
        <sz val="11"/>
        <color theme="1"/>
        <rFont val="等线"/>
        <family val="2"/>
        <scheme val="minor"/>
      </rPr>
      <t>/0.9354</t>
    </r>
    <phoneticPr fontId="1" type="noConversion"/>
  </si>
  <si>
    <r>
      <t>0.7419/</t>
    </r>
    <r>
      <rPr>
        <sz val="11"/>
        <color theme="0" tint="-0.499984740745262"/>
        <rFont val="等线"/>
        <family val="3"/>
        <charset val="134"/>
        <scheme val="minor"/>
      </rPr>
      <t>0.7096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</si>
  <si>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0.6774</t>
    </r>
    <r>
      <rPr>
        <sz val="11"/>
        <color theme="1"/>
        <rFont val="等线"/>
        <family val="2"/>
        <scheme val="minor"/>
      </rPr>
      <t>/0.7096</t>
    </r>
    <phoneticPr fontId="1" type="noConversion"/>
  </si>
  <si>
    <r>
      <t>0.7419/</t>
    </r>
    <r>
      <rPr>
        <sz val="11"/>
        <color theme="0" tint="-0.499984740745262"/>
        <rFont val="等线"/>
        <family val="3"/>
        <charset val="134"/>
        <scheme val="minor"/>
      </rPr>
      <t>0.6451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</si>
  <si>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0.6451</t>
    </r>
    <r>
      <rPr>
        <sz val="11"/>
        <color theme="1"/>
        <rFont val="等线"/>
        <family val="2"/>
        <scheme val="minor"/>
      </rPr>
      <t>/0.7096</t>
    </r>
    <phoneticPr fontId="1" type="noConversion"/>
  </si>
  <si>
    <r>
      <rPr>
        <sz val="11"/>
        <color theme="0" tint="-0.499984740745262"/>
        <rFont val="等线"/>
        <family val="3"/>
        <charset val="134"/>
        <scheme val="minor"/>
      </rPr>
      <t>0.7419</t>
    </r>
    <r>
      <rPr>
        <sz val="11"/>
        <color theme="1"/>
        <rFont val="等线"/>
        <family val="2"/>
        <scheme val="minor"/>
      </rPr>
      <t>/0.8064</t>
    </r>
    <phoneticPr fontId="1" type="noConversion"/>
  </si>
  <si>
    <r>
      <t>0.7741/</t>
    </r>
    <r>
      <rPr>
        <sz val="11"/>
        <color theme="0" tint="-0.499984740745262"/>
        <rFont val="等线"/>
        <family val="3"/>
        <charset val="134"/>
        <scheme val="minor"/>
      </rPr>
      <t>0.7419</t>
    </r>
    <phoneticPr fontId="1" type="noConversion"/>
  </si>
  <si>
    <t>n_top_gene</t>
    <phoneticPr fontId="1" type="noConversion"/>
  </si>
  <si>
    <t>tfidf+single cell+stage1</t>
    <phoneticPr fontId="1" type="noConversion"/>
  </si>
  <si>
    <t>tfidf+single cell+stage2</t>
    <phoneticPr fontId="1" type="noConversion"/>
  </si>
  <si>
    <t>llm_judge_binary</t>
    <phoneticPr fontId="1" type="noConversion"/>
  </si>
  <si>
    <t>multichoice5pc</t>
    <phoneticPr fontId="1" type="noConversion"/>
  </si>
  <si>
    <t>1pc</t>
    <phoneticPr fontId="1" type="noConversion"/>
  </si>
  <si>
    <t>每个l2 cell type抽样5个cell</t>
    <phoneticPr fontId="1" type="noConversion"/>
  </si>
  <si>
    <t>key_word</t>
    <phoneticPr fontId="1" type="noConversion"/>
  </si>
  <si>
    <t>setting: tfidf+stage2</t>
    <phoneticPr fontId="1" type="noConversion"/>
  </si>
  <si>
    <t>关于knn k的设置</t>
    <phoneticPr fontId="1" type="noConversion"/>
  </si>
  <si>
    <t>stage1</t>
    <phoneticPr fontId="1" type="noConversion"/>
  </si>
  <si>
    <t>stage2_program</t>
    <phoneticPr fontId="1" type="noConversion"/>
  </si>
  <si>
    <t>stage2_refinement</t>
    <phoneticPr fontId="1" type="noConversion"/>
  </si>
  <si>
    <t>llmeval_binary</t>
    <phoneticPr fontId="1" type="noConversion"/>
  </si>
  <si>
    <t>total_token</t>
    <phoneticPr fontId="1" type="noConversion"/>
  </si>
  <si>
    <t>关于top gene的设置</t>
    <phoneticPr fontId="1" type="noConversion"/>
  </si>
  <si>
    <t>benchmark</t>
    <phoneticPr fontId="1" type="noConversion"/>
  </si>
  <si>
    <t>knn(k=10)</t>
    <phoneticPr fontId="1" type="noConversion"/>
  </si>
  <si>
    <t>setting: top20</t>
    <phoneticPr fontId="1" type="noConversion"/>
  </si>
  <si>
    <t>0.3548/0.5548</t>
    <phoneticPr fontId="1" type="noConversion"/>
  </si>
  <si>
    <t>0.5548/0.6967</t>
    <phoneticPr fontId="1" type="noConversion"/>
  </si>
  <si>
    <t>0.4193/0.5806</t>
    <phoneticPr fontId="1" type="noConversion"/>
  </si>
  <si>
    <t>0.3870/0.5096</t>
    <phoneticPr fontId="1" type="noConversion"/>
  </si>
  <si>
    <t>0.5548/0.6516</t>
    <phoneticPr fontId="1" type="noConversion"/>
  </si>
  <si>
    <t>0.4580/0.5419</t>
    <phoneticPr fontId="1" type="noConversion"/>
  </si>
  <si>
    <t>0.5096/0.5483</t>
    <phoneticPr fontId="1" type="noConversion"/>
  </si>
  <si>
    <t>0.6258/0.7225</t>
    <phoneticPr fontId="1" type="noConversion"/>
  </si>
  <si>
    <t>0.5741/0.6258</t>
    <phoneticPr fontId="1" type="noConversion"/>
  </si>
  <si>
    <t>0.3225/0.5161</t>
    <phoneticPr fontId="1" type="noConversion"/>
  </si>
  <si>
    <t>0.5161/0.6838</t>
    <phoneticPr fontId="1" type="noConversion"/>
  </si>
  <si>
    <t>0.4322/0.5870</t>
    <phoneticPr fontId="1" type="noConversion"/>
  </si>
  <si>
    <t>0.4774/0.5806</t>
    <phoneticPr fontId="1" type="noConversion"/>
  </si>
  <si>
    <t>0.6322/0.7161</t>
    <phoneticPr fontId="1" type="noConversion"/>
  </si>
  <si>
    <t>0.5612/0.6387</t>
    <phoneticPr fontId="1" type="noConversion"/>
  </si>
  <si>
    <t>0.3677/0.6645</t>
    <phoneticPr fontId="1" type="noConversion"/>
  </si>
  <si>
    <t>0.5225/0.7677</t>
    <phoneticPr fontId="1" type="noConversion"/>
  </si>
  <si>
    <t>0.4258/0.6967</t>
    <phoneticPr fontId="1" type="noConversion"/>
  </si>
  <si>
    <t>0.5935/0.6645</t>
    <phoneticPr fontId="1" type="noConversion"/>
  </si>
  <si>
    <t>0.7096/0.7483</t>
    <phoneticPr fontId="1" type="noConversion"/>
  </si>
  <si>
    <t>0.6451/0.6967</t>
    <phoneticPr fontId="1" type="noConversion"/>
  </si>
  <si>
    <t>0.5612/0.6516</t>
    <phoneticPr fontId="1" type="noConversion"/>
  </si>
  <si>
    <t>0.7032/0.7677</t>
    <phoneticPr fontId="1" type="noConversion"/>
  </si>
  <si>
    <t>0.5806/0.6645</t>
    <phoneticPr fontId="1" type="noConversion"/>
  </si>
  <si>
    <t>0.4774/0.5677</t>
    <phoneticPr fontId="1" type="noConversion"/>
  </si>
  <si>
    <t>0.5935/0.7032</t>
    <phoneticPr fontId="1" type="noConversion"/>
  </si>
  <si>
    <t>0.5483/0.6193</t>
    <phoneticPr fontId="1" type="noConversion"/>
  </si>
  <si>
    <t>？？？</t>
    <phoneticPr fontId="1" type="noConversion"/>
  </si>
  <si>
    <t>关于gene mask</t>
    <phoneticPr fontId="1" type="noConversion"/>
  </si>
  <si>
    <t>all</t>
    <phoneticPr fontId="1" type="noConversion"/>
  </si>
  <si>
    <t>none</t>
    <phoneticPr fontId="1" type="noConversion"/>
  </si>
  <si>
    <t>low_expr/sex</t>
    <phoneticPr fontId="1" type="noConversion"/>
  </si>
  <si>
    <t>hb/sex</t>
    <phoneticPr fontId="1" type="noConversion"/>
  </si>
  <si>
    <t>mt/sex</t>
    <phoneticPr fontId="1" type="noConversion"/>
  </si>
  <si>
    <t>ribo/sex</t>
    <phoneticPr fontId="1" type="noConversion"/>
  </si>
  <si>
    <t>include</t>
    <phoneticPr fontId="1" type="noConversion"/>
  </si>
  <si>
    <t>sex</t>
    <phoneticPr fontId="1" type="noConversion"/>
  </si>
  <si>
    <t>mt - 线粒体gene</t>
    <phoneticPr fontId="1" type="noConversion"/>
  </si>
  <si>
    <t>ribo - 核糖体gene</t>
    <phoneticPr fontId="1" type="noConversion"/>
  </si>
  <si>
    <t>low_expr - 低表达gene</t>
    <phoneticPr fontId="1" type="noConversion"/>
  </si>
  <si>
    <t>hb - 血红蛋白gene</t>
    <phoneticPr fontId="1" type="noConversion"/>
  </si>
  <si>
    <t>tcr_ig/sex</t>
    <phoneticPr fontId="1" type="noConversion"/>
  </si>
  <si>
    <t>tcr_ig - 免疫受体gene</t>
    <phoneticPr fontId="1" type="noConversion"/>
  </si>
  <si>
    <t>sex - 性染色体gene</t>
    <phoneticPr fontId="1" type="noConversion"/>
  </si>
  <si>
    <t>setting：knn(k=10)+stage2</t>
    <phoneticPr fontId="1" type="noConversion"/>
  </si>
  <si>
    <t>scale_up</t>
    <phoneticPr fontId="1" type="noConversion"/>
  </si>
  <si>
    <t>setting:knn(k=10)+20pc+stg2+tfidf20</t>
    <phoneticPr fontId="1" type="noConversion"/>
  </si>
  <si>
    <t>seed</t>
    <phoneticPr fontId="1" type="noConversion"/>
  </si>
  <si>
    <t>mean</t>
    <phoneticPr fontId="1" type="noConversion"/>
  </si>
  <si>
    <t>一个cell type抽样20个cell</t>
    <phoneticPr fontId="1" type="noConversion"/>
  </si>
  <si>
    <t>tissue: lung parenchyma</t>
    <phoneticPr fontId="1" type="noConversion"/>
  </si>
  <si>
    <t>0.2885/0.4675</t>
    <phoneticPr fontId="1" type="noConversion"/>
  </si>
  <si>
    <t>0.5480/0.7360</t>
    <phoneticPr fontId="1" type="noConversion"/>
  </si>
  <si>
    <t>0.4451/0.6431</t>
    <phoneticPr fontId="1" type="noConversion"/>
  </si>
  <si>
    <t>0.4149/0.4821</t>
    <phoneticPr fontId="1" type="noConversion"/>
  </si>
  <si>
    <t>0.7069/0.7561</t>
    <phoneticPr fontId="1" type="noConversion"/>
  </si>
  <si>
    <t>0.6107/0.6610</t>
    <phoneticPr fontId="1" type="noConversion"/>
  </si>
  <si>
    <t>0.2774/0.4205</t>
    <phoneticPr fontId="1" type="noConversion"/>
  </si>
  <si>
    <t>0.5055/0.6633</t>
    <phoneticPr fontId="1" type="noConversion"/>
  </si>
  <si>
    <t>0.4116/0.5727</t>
    <phoneticPr fontId="1" type="noConversion"/>
  </si>
  <si>
    <t>0.3031/0.5637</t>
    <phoneticPr fontId="1" type="noConversion"/>
  </si>
  <si>
    <t>0.6029/0.8277</t>
    <phoneticPr fontId="1" type="noConversion"/>
  </si>
  <si>
    <t>0.4485/0.7494</t>
    <phoneticPr fontId="1" type="noConversion"/>
  </si>
  <si>
    <t>0.5615/0.5928</t>
    <phoneticPr fontId="1" type="noConversion"/>
  </si>
  <si>
    <t>0.8355/0.8232</t>
    <phoneticPr fontId="1" type="noConversion"/>
  </si>
  <si>
    <t>0.7315/0.7539</t>
    <phoneticPr fontId="1" type="noConversion"/>
  </si>
  <si>
    <t>0.2774/0.4328</t>
    <phoneticPr fontId="1" type="noConversion"/>
  </si>
  <si>
    <t>0.5369/0.6957</t>
    <phoneticPr fontId="1" type="noConversion"/>
  </si>
  <si>
    <t>0.4295/0.5995</t>
    <phoneticPr fontId="1" type="noConversion"/>
  </si>
  <si>
    <t>0.4060/0.4429</t>
    <phoneticPr fontId="1" type="noConversion"/>
  </si>
  <si>
    <t>0.6991/0.7270</t>
    <phoneticPr fontId="1" type="noConversion"/>
  </si>
  <si>
    <t>0.6085/0.6174</t>
    <phoneticPr fontId="1" type="noConversion"/>
  </si>
  <si>
    <t>0.2550/0.3836</t>
    <phoneticPr fontId="1" type="noConversion"/>
  </si>
  <si>
    <t>0.4440/0.6308</t>
    <phoneticPr fontId="1" type="noConversion"/>
  </si>
  <si>
    <t>0.3601/0.5313</t>
    <phoneticPr fontId="1" type="noConversion"/>
  </si>
  <si>
    <t>0.4284/0.5771</t>
    <phoneticPr fontId="1" type="noConversion"/>
  </si>
  <si>
    <t>0.7102/0.8400</t>
    <phoneticPr fontId="1" type="noConversion"/>
  </si>
  <si>
    <t>0.6319/0.7706</t>
    <phoneticPr fontId="1" type="noConversion"/>
  </si>
  <si>
    <t>tissue: nose</t>
    <phoneticPr fontId="1" type="noConversion"/>
  </si>
  <si>
    <t>0.3315/0.4875</t>
    <phoneticPr fontId="1" type="noConversion"/>
  </si>
  <si>
    <t>0.5620/0.7411</t>
    <phoneticPr fontId="1" type="noConversion"/>
  </si>
  <si>
    <t>0.4946/0.6578</t>
    <phoneticPr fontId="1" type="noConversion"/>
  </si>
  <si>
    <t>0.3563/0.4219</t>
    <phoneticPr fontId="1" type="noConversion"/>
  </si>
  <si>
    <t>0.5673/0.6790</t>
    <phoneticPr fontId="1" type="noConversion"/>
  </si>
  <si>
    <t>0.5141/0.5939</t>
    <phoneticPr fontId="1" type="noConversion"/>
  </si>
  <si>
    <t>0.4787/0.4964</t>
    <phoneticPr fontId="1" type="noConversion"/>
  </si>
  <si>
    <t>0.7464/0.7553</t>
    <phoneticPr fontId="1" type="noConversion"/>
  </si>
  <si>
    <t>0.6773/0.6826</t>
    <phoneticPr fontId="1" type="noConversion"/>
  </si>
  <si>
    <t>0.2996/0.4574</t>
    <phoneticPr fontId="1" type="noConversion"/>
  </si>
  <si>
    <t>0.5141/0.7039</t>
    <phoneticPr fontId="1" type="noConversion"/>
  </si>
  <si>
    <t>0.4858/0.6170</t>
    <phoneticPr fontId="1" type="noConversion"/>
  </si>
  <si>
    <t>0.4539/0.4663</t>
    <phoneticPr fontId="1" type="noConversion"/>
  </si>
  <si>
    <t>0.7180/0.7056</t>
    <phoneticPr fontId="1" type="noConversion"/>
  </si>
  <si>
    <t>0.6400/0.6365</t>
    <phoneticPr fontId="1" type="noConversion"/>
  </si>
  <si>
    <t>0.3457/0.4131</t>
    <phoneticPr fontId="1" type="noConversion"/>
  </si>
  <si>
    <t>0.5726/0.6347</t>
    <phoneticPr fontId="1" type="noConversion"/>
  </si>
  <si>
    <t>0.4875/0.5656</t>
    <phoneticPr fontId="1" type="noConversion"/>
  </si>
  <si>
    <t>0.3652/0.6737</t>
    <phoneticPr fontId="1" type="noConversion"/>
  </si>
  <si>
    <t>0.6028/0.8918</t>
    <phoneticPr fontId="1" type="noConversion"/>
  </si>
  <si>
    <t>0.5638/0.8457</t>
    <phoneticPr fontId="1" type="noConversion"/>
  </si>
  <si>
    <t>0.5780/0.6542</t>
    <phoneticPr fontId="1" type="noConversion"/>
  </si>
  <si>
    <t>0.8652/0.9007</t>
    <phoneticPr fontId="1" type="noConversion"/>
  </si>
  <si>
    <t>0.7978/0.8368</t>
    <phoneticPr fontId="1" type="noConversion"/>
  </si>
  <si>
    <t>0.6861/0.6790</t>
    <phoneticPr fontId="1" type="noConversion"/>
  </si>
  <si>
    <t>0.8617/0.8723</t>
    <phoneticPr fontId="1" type="noConversion"/>
  </si>
  <si>
    <t>0.8297/0.8404</t>
    <phoneticPr fontId="1" type="noConversion"/>
  </si>
  <si>
    <t>tissue：respiratory airway</t>
    <phoneticPr fontId="1" type="noConversion"/>
  </si>
  <si>
    <t>0.3194/0.4209</t>
    <phoneticPr fontId="1" type="noConversion"/>
  </si>
  <si>
    <t>0.5608/0.6837</t>
    <phoneticPr fontId="1" type="noConversion"/>
  </si>
  <si>
    <t>0.4893/0.5929</t>
    <phoneticPr fontId="1" type="noConversion"/>
  </si>
  <si>
    <t>0.2638/0.4081</t>
    <phoneticPr fontId="1" type="noConversion"/>
  </si>
  <si>
    <t>0.4668/0.6292</t>
    <phoneticPr fontId="1" type="noConversion"/>
  </si>
  <si>
    <t>0.3995/0.5683</t>
    <phoneticPr fontId="1" type="noConversion"/>
  </si>
  <si>
    <t>0.4262/0.4358</t>
    <phoneticPr fontId="1" type="noConversion"/>
  </si>
  <si>
    <t>0.7115/0.7179</t>
    <phoneticPr fontId="1" type="noConversion"/>
  </si>
  <si>
    <t>0.6164/0.6089</t>
    <phoneticPr fontId="1" type="noConversion"/>
  </si>
  <si>
    <t>0.3044/0.4658</t>
    <phoneticPr fontId="1" type="noConversion"/>
  </si>
  <si>
    <t>0.5491/0.7329</t>
    <phoneticPr fontId="1" type="noConversion"/>
  </si>
  <si>
    <t>0.4679/0.6623</t>
    <phoneticPr fontId="1" type="noConversion"/>
  </si>
  <si>
    <t>0.4337/0.4925</t>
    <phoneticPr fontId="1" type="noConversion"/>
  </si>
  <si>
    <t>0.7147/0.7500</t>
    <phoneticPr fontId="1" type="noConversion"/>
  </si>
  <si>
    <t>0.6185/0.6816</t>
    <phoneticPr fontId="1" type="noConversion"/>
  </si>
  <si>
    <t>0.3482/0.4348</t>
    <phoneticPr fontId="1" type="noConversion"/>
  </si>
  <si>
    <t>0.5662/0.6741</t>
    <phoneticPr fontId="1" type="noConversion"/>
  </si>
  <si>
    <t>0.5085/0.6111</t>
    <phoneticPr fontId="1" type="noConversion"/>
  </si>
  <si>
    <t>0.3311/0.5758</t>
    <phoneticPr fontId="1" type="noConversion"/>
  </si>
  <si>
    <t>0.5854/0.8311</t>
    <phoneticPr fontId="1" type="noConversion"/>
  </si>
  <si>
    <t>0.4871/0.7767</t>
    <phoneticPr fontId="1" type="noConversion"/>
  </si>
  <si>
    <t>0.5480/0.5598</t>
    <phoneticPr fontId="1" type="noConversion"/>
  </si>
  <si>
    <t>0.8322/0.8141</t>
    <phoneticPr fontId="1" type="noConversion"/>
  </si>
  <si>
    <t>0.7574/0.7649</t>
    <phoneticPr fontId="1" type="noConversion"/>
  </si>
  <si>
    <t>0.4743/0.5726</t>
    <phoneticPr fontId="1" type="noConversion"/>
  </si>
  <si>
    <t>0.7446/0.8525</t>
    <phoneticPr fontId="1" type="noConversion"/>
  </si>
  <si>
    <t>0.6527/0.7735</t>
    <phoneticPr fontId="1" type="noConversion"/>
  </si>
  <si>
    <t>0.4096/0.5532</t>
    <phoneticPr fontId="1" type="noConversion"/>
  </si>
  <si>
    <t>0.5709/0.6919</t>
    <phoneticPr fontId="1" type="noConversion"/>
  </si>
  <si>
    <t>0.4548/0.5661</t>
    <phoneticPr fontId="1" type="noConversion"/>
  </si>
  <si>
    <t>0.5580/0.5483</t>
    <phoneticPr fontId="1" type="noConversion"/>
  </si>
  <si>
    <t>0.6645/0.6774</t>
    <phoneticPr fontId="1" type="noConversion"/>
  </si>
  <si>
    <t>0.5758/0.5580</t>
    <phoneticPr fontId="1" type="noConversion"/>
  </si>
  <si>
    <t>0.3758/0.5258</t>
    <phoneticPr fontId="1" type="noConversion"/>
  </si>
  <si>
    <t>0.4951/0.6290</t>
    <phoneticPr fontId="1" type="noConversion"/>
  </si>
  <si>
    <t>0.3790/0.5403</t>
    <phoneticPr fontId="1" type="noConversion"/>
  </si>
  <si>
    <t>0.3935/0.5951</t>
    <phoneticPr fontId="1" type="noConversion"/>
  </si>
  <si>
    <t>0.5322/0.7048</t>
    <phoneticPr fontId="1" type="noConversion"/>
  </si>
  <si>
    <t>0.4419/0.6000</t>
    <phoneticPr fontId="1" type="noConversion"/>
  </si>
  <si>
    <t>0.3935/0.5483</t>
    <phoneticPr fontId="1" type="noConversion"/>
  </si>
  <si>
    <t>0.4725/0.6451</t>
    <phoneticPr fontId="1" type="noConversion"/>
  </si>
  <si>
    <t>0.4016/0.5596</t>
    <phoneticPr fontId="1" type="noConversion"/>
  </si>
  <si>
    <t>0.5758/0.6274</t>
    <phoneticPr fontId="1" type="noConversion"/>
  </si>
  <si>
    <t>0.6774/0.7225</t>
    <phoneticPr fontId="1" type="noConversion"/>
  </si>
  <si>
    <t>0.5935/0.6354</t>
    <phoneticPr fontId="1" type="noConversion"/>
  </si>
  <si>
    <t>0.4209/0.7032</t>
    <phoneticPr fontId="1" type="noConversion"/>
  </si>
  <si>
    <t>0.5758/0.7870</t>
    <phoneticPr fontId="1" type="noConversion"/>
  </si>
  <si>
    <t>0.4741/0.7048</t>
    <phoneticPr fontId="1" type="noConversion"/>
  </si>
  <si>
    <t>0.6661/0.6983</t>
    <phoneticPr fontId="1" type="noConversion"/>
  </si>
  <si>
    <t>0.7548/0.7935</t>
    <phoneticPr fontId="1" type="noConversion"/>
  </si>
  <si>
    <t>0.6693/0.7000</t>
    <phoneticPr fontId="1" type="noConversion"/>
  </si>
  <si>
    <t>0.6806/0.7064</t>
    <phoneticPr fontId="1" type="noConversion"/>
  </si>
  <si>
    <t>0.7774/0.8000</t>
    <phoneticPr fontId="1" type="noConversion"/>
  </si>
  <si>
    <t>0.6887/0.7096</t>
    <phoneticPr fontId="1" type="noConversion"/>
  </si>
  <si>
    <t>5pc</t>
    <phoneticPr fontId="1" type="noConversion"/>
  </si>
  <si>
    <t>20pc</t>
    <phoneticPr fontId="1" type="noConversion"/>
  </si>
  <si>
    <t>每个l2 cell type抽样20个cell</t>
    <phoneticPr fontId="1" type="noConversion"/>
  </si>
  <si>
    <t>setting: tfidf20+stg2</t>
    <phoneticPr fontId="1" type="noConversion"/>
  </si>
  <si>
    <t>setting：top20</t>
    <phoneticPr fontId="1" type="noConversion"/>
  </si>
  <si>
    <t>数据集：pbmc</t>
    <phoneticPr fontId="1" type="noConversion"/>
  </si>
  <si>
    <t>setting: tfidf+knn(k=10)+stg2</t>
    <phoneticPr fontId="1" type="noConversion"/>
  </si>
  <si>
    <t>top10</t>
    <phoneticPr fontId="1" type="noConversion"/>
  </si>
  <si>
    <t>top20</t>
    <phoneticPr fontId="1" type="noConversion"/>
  </si>
  <si>
    <t>关于top10 or top20</t>
    <phoneticPr fontId="1" type="noConversion"/>
  </si>
  <si>
    <t>关于llm</t>
    <phoneticPr fontId="1" type="noConversion"/>
  </si>
  <si>
    <t>setting：tfidf+stg2</t>
    <phoneticPr fontId="1" type="noConversion"/>
  </si>
  <si>
    <t>setting：top20+stg2</t>
    <phoneticPr fontId="1" type="noConversion"/>
  </si>
  <si>
    <t>exact match only</t>
    <phoneticPr fontId="1" type="noConversion"/>
  </si>
  <si>
    <t>deepseekv4flash</t>
    <phoneticPr fontId="1" type="noConversion"/>
  </si>
  <si>
    <t>deepseekv4pro</t>
    <phoneticPr fontId="1" type="noConversion"/>
  </si>
  <si>
    <t>expr20</t>
    <phoneticPr fontId="1" type="noConversion"/>
  </si>
  <si>
    <t>tfidf20</t>
    <phoneticPr fontId="1" type="noConversion"/>
  </si>
  <si>
    <t>dataset：pbmc</t>
    <phoneticPr fontId="1" type="noConversion"/>
  </si>
  <si>
    <t>stg1 benchmark</t>
    <phoneticPr fontId="1" type="noConversion"/>
  </si>
  <si>
    <t>pseudobulk</t>
    <phoneticPr fontId="1" type="noConversion"/>
  </si>
  <si>
    <t>setting: stg1 + knn(k=10) + tfidf</t>
    <phoneticPr fontId="1" type="noConversion"/>
  </si>
  <si>
    <t>关于stg2 program scoring method</t>
    <phoneticPr fontId="1" type="noConversion"/>
  </si>
  <si>
    <t>stg1</t>
    <phoneticPr fontId="1" type="noConversion"/>
  </si>
  <si>
    <t>mean_z</t>
    <phoneticPr fontId="1" type="noConversion"/>
  </si>
  <si>
    <t>tirosh</t>
    <phoneticPr fontId="1" type="noConversion"/>
  </si>
  <si>
    <t>ucell</t>
    <phoneticPr fontId="1" type="noConversion"/>
  </si>
  <si>
    <t>ds-v4-flash</t>
    <phoneticPr fontId="1" type="noConversion"/>
  </si>
  <si>
    <t>ds-v4-pro</t>
    <phoneticPr fontId="1" type="noConversion"/>
  </si>
  <si>
    <t>setting: stg1 + top20</t>
    <phoneticPr fontId="1" type="noConversion"/>
  </si>
  <si>
    <t>results/pbmc20</t>
  </si>
  <si>
    <t>input_token</t>
    <phoneticPr fontId="1" type="noConversion"/>
  </si>
  <si>
    <t>output_token</t>
    <phoneticPr fontId="1" type="noConversion"/>
  </si>
  <si>
    <t>setting: stg1 + tfidf(n=50)</t>
    <phoneticPr fontId="1" type="noConversion"/>
  </si>
  <si>
    <t>setting: knn(k=10) + tfidf(n=50)</t>
    <phoneticPr fontId="1" type="noConversion"/>
  </si>
  <si>
    <t>预算</t>
    <phoneticPr fontId="1" type="noConversion"/>
  </si>
  <si>
    <t>setting: stg2 + knn(k=10) + tfidf(n=50) + tirosh</t>
    <phoneticPr fontId="1" type="noConversion"/>
  </si>
  <si>
    <t>stg2_program</t>
    <phoneticPr fontId="1" type="noConversion"/>
  </si>
  <si>
    <t>stg2_refinement</t>
    <phoneticPr fontId="1" type="noConversion"/>
  </si>
  <si>
    <t>reasoning_token</t>
    <phoneticPr fontId="1" type="noConversion"/>
  </si>
  <si>
    <t>reasoning_ratio</t>
    <phoneticPr fontId="1" type="noConversion"/>
  </si>
  <si>
    <t>total</t>
    <phoneticPr fontId="1" type="noConversion"/>
  </si>
  <si>
    <t>kimi-k3</t>
    <phoneticPr fontId="1" type="noConversion"/>
  </si>
  <si>
    <t>rank</t>
    <phoneticPr fontId="1" type="noConversion"/>
  </si>
  <si>
    <t>cld-opus-5</t>
    <phoneticPr fontId="1" type="noConversion"/>
  </si>
  <si>
    <t>42[15-67]</t>
    <phoneticPr fontId="1" type="noConversion"/>
  </si>
  <si>
    <t>gpt-5.5-high</t>
    <phoneticPr fontId="1" type="noConversion"/>
  </si>
  <si>
    <t>13[7-40]</t>
    <phoneticPr fontId="1" type="noConversion"/>
  </si>
  <si>
    <t>gpt-5.5-instant</t>
    <phoneticPr fontId="1" type="noConversion"/>
  </si>
  <si>
    <t>21[8-52]</t>
    <phoneticPr fontId="1" type="noConversion"/>
  </si>
  <si>
    <t>cld-sonnet-5h</t>
    <phoneticPr fontId="1" type="noConversion"/>
  </si>
  <si>
    <t>38[9-70]</t>
    <phoneticPr fontId="1" type="noConversion"/>
  </si>
  <si>
    <t>7[1-38]</t>
    <phoneticPr fontId="1" type="noConversion"/>
  </si>
  <si>
    <t>qwen3.7-plus</t>
    <phoneticPr fontId="1" type="noConversion"/>
  </si>
  <si>
    <t>59[31-89]</t>
    <phoneticPr fontId="1" type="noConversion"/>
  </si>
  <si>
    <t>qwen3.7-max(pre)</t>
    <phoneticPr fontId="1" type="noConversion"/>
  </si>
  <si>
    <t>30[5-78]</t>
    <phoneticPr fontId="1" type="noConversion"/>
  </si>
  <si>
    <t>input($)</t>
    <phoneticPr fontId="1" type="noConversion"/>
  </si>
  <si>
    <t>output($)</t>
    <phoneticPr fontId="1" type="noConversion"/>
  </si>
  <si>
    <t>49[17-68]</t>
    <phoneticPr fontId="1" type="noConversion"/>
  </si>
  <si>
    <t>1[1-12]</t>
    <phoneticPr fontId="1" type="noConversion"/>
  </si>
  <si>
    <t>kimi-k2.6</t>
    <phoneticPr fontId="1" type="noConversion"/>
  </si>
  <si>
    <t>70[46-99]</t>
    <phoneticPr fontId="1" type="noConversion"/>
  </si>
  <si>
    <t>estimate_cost($)</t>
    <phoneticPr fontId="1" type="noConversion"/>
  </si>
  <si>
    <t>35[7-72]</t>
    <phoneticPr fontId="1" type="noConversion"/>
  </si>
  <si>
    <t>9[1-41]</t>
    <phoneticPr fontId="1" type="noConversion"/>
  </si>
  <si>
    <t>gm-3.6-flash(pre)</t>
    <phoneticPr fontId="1" type="noConversion"/>
  </si>
  <si>
    <t>gm-3-pro</t>
    <phoneticPr fontId="1" type="noConversion"/>
  </si>
  <si>
    <t>12[5-18]</t>
    <phoneticPr fontId="1" type="noConversion"/>
  </si>
  <si>
    <t>gm-3.5-flash</t>
    <phoneticPr fontId="1" type="noConversion"/>
  </si>
  <si>
    <t>llm: deepseek-v4-flash</t>
    <phoneticPr fontId="1" type="noConversion"/>
  </si>
  <si>
    <t>pbmc</t>
    <phoneticPr fontId="1" type="noConversion"/>
  </si>
  <si>
    <t>hlca_lp</t>
    <phoneticPr fontId="1" type="noConversion"/>
  </si>
  <si>
    <t>note：k=1时，是本身和最接近cell取平均</t>
    <phoneticPr fontId="1" type="noConversion"/>
  </si>
  <si>
    <t>0.7677/0.7790</t>
    <phoneticPr fontId="1" type="noConversion"/>
  </si>
  <si>
    <t>hierarchy</t>
    <phoneticPr fontId="1" type="noConversion"/>
  </si>
  <si>
    <t>1.3903/1.4177</t>
    <phoneticPr fontId="1" type="noConversion"/>
  </si>
  <si>
    <t>关于llm预算</t>
    <phoneticPr fontId="1" type="noConversion"/>
  </si>
  <si>
    <t>gpt-5.6-luna</t>
    <phoneticPr fontId="1" type="noConversion"/>
  </si>
  <si>
    <t>input</t>
    <phoneticPr fontId="1" type="noConversion"/>
  </si>
  <si>
    <t>output</t>
    <phoneticPr fontId="1" type="noConversion"/>
  </si>
  <si>
    <t>input_price</t>
    <phoneticPr fontId="1" type="noConversion"/>
  </si>
  <si>
    <t>output_price</t>
    <phoneticPr fontId="1" type="noConversion"/>
  </si>
  <si>
    <t>exact_std</t>
    <phoneticPr fontId="1" type="noConversion"/>
  </si>
  <si>
    <t>hierarchy_std</t>
    <phoneticPr fontId="1" type="noConversion"/>
  </si>
  <si>
    <t>l1_match</t>
    <phoneticPr fontId="1" type="noConversion"/>
  </si>
  <si>
    <t>l1_match_std</t>
    <phoneticPr fontId="1" type="noConversion"/>
  </si>
  <si>
    <t>0.5935/0.6210</t>
    <phoneticPr fontId="1" type="noConversion"/>
  </si>
  <si>
    <t>0.0147/0.0150</t>
    <phoneticPr fontId="1" type="noConversion"/>
  </si>
  <si>
    <t>1.3532/1.3790</t>
    <phoneticPr fontId="1" type="noConversion"/>
  </si>
  <si>
    <t>0.0239/0.0253</t>
    <phoneticPr fontId="1" type="noConversion"/>
  </si>
  <si>
    <t>0.7597/0.7581</t>
    <phoneticPr fontId="1" type="noConversion"/>
  </si>
  <si>
    <t>0.0113/0.0124</t>
    <phoneticPr fontId="1" type="noConversion"/>
  </si>
  <si>
    <t>0.0134/0.0140</t>
    <phoneticPr fontId="1" type="noConversion"/>
  </si>
  <si>
    <t>0.0238/0.0250</t>
    <phoneticPr fontId="1" type="noConversion"/>
  </si>
  <si>
    <t>0.7919/0.7839</t>
    <phoneticPr fontId="1" type="noConversion"/>
  </si>
  <si>
    <t>0.0128/0.0130</t>
    <phoneticPr fontId="1" type="noConversion"/>
  </si>
  <si>
    <t>0.5661/0.5581</t>
    <phoneticPr fontId="1" type="noConversion"/>
  </si>
  <si>
    <t>0.0145/0.0156</t>
    <phoneticPr fontId="1" type="noConversion"/>
  </si>
  <si>
    <t>1.3500/1.2903</t>
    <phoneticPr fontId="1" type="noConversion"/>
  </si>
  <si>
    <t>0.0257/0.0277</t>
    <phoneticPr fontId="1" type="noConversion"/>
  </si>
  <si>
    <t>0.7839/0.7323</t>
    <phoneticPr fontId="1" type="noConversion"/>
  </si>
  <si>
    <t>0.0136/0.0142</t>
    <phoneticPr fontId="1" type="noConversion"/>
  </si>
  <si>
    <t>0.0125/0.0131</t>
    <phoneticPr fontId="1" type="noConversion"/>
  </si>
  <si>
    <t>1.6435/1.6435</t>
    <phoneticPr fontId="1" type="noConversion"/>
  </si>
  <si>
    <t>0.0206/0.0224</t>
    <phoneticPr fontId="1" type="noConversion"/>
  </si>
  <si>
    <t>0.8758/0.8645</t>
    <phoneticPr fontId="1" type="noConversion"/>
  </si>
  <si>
    <t>0.0103/0.0110</t>
    <phoneticPr fontId="1" type="noConversion"/>
  </si>
  <si>
    <t>0.5870/0.5968</t>
    <phoneticPr fontId="1" type="noConversion"/>
  </si>
  <si>
    <t>0.0130/0.0134</t>
    <phoneticPr fontId="1" type="noConversion"/>
  </si>
  <si>
    <t>1.3919/1.3871</t>
    <phoneticPr fontId="1" type="noConversion"/>
  </si>
  <si>
    <t>0.0222/0.0233</t>
    <phoneticPr fontId="1" type="noConversion"/>
  </si>
  <si>
    <t>0.8048/0.7903</t>
    <phoneticPr fontId="1" type="noConversion"/>
  </si>
  <si>
    <t>0.0112/0.0118</t>
    <phoneticPr fontId="1" type="noConversion"/>
  </si>
  <si>
    <t>0.5145/0.5414</t>
    <phoneticPr fontId="1" type="noConversion"/>
  </si>
  <si>
    <t>0.4374/0.4642</t>
    <phoneticPr fontId="1" type="noConversion"/>
  </si>
  <si>
    <t>0.5984/0.6339</t>
    <phoneticPr fontId="1" type="noConversion"/>
  </si>
  <si>
    <t>P2_8_TTAGGACGTTCAGGCC</t>
  </si>
  <si>
    <t>Immune</t>
  </si>
  <si>
    <t>Myeloid</t>
  </si>
  <si>
    <t>Macrophages</t>
  </si>
  <si>
    <t>Alveolar macrophages</t>
  </si>
  <si>
    <t>Alveolar Mph CCL3+</t>
  </si>
  <si>
    <t>alveolar macrophage</t>
  </si>
  <si>
    <t>cell_id</t>
  </si>
  <si>
    <t>ann_level_1</t>
  </si>
  <si>
    <t>ann_level_2</t>
  </si>
  <si>
    <t>ann_level_3</t>
  </si>
  <si>
    <t>ann_level_4</t>
  </si>
  <si>
    <t>ann_level_5</t>
  </si>
  <si>
    <t>ann_finest_level</t>
  </si>
  <si>
    <t>ann_coarse_for_GWAS_and_modeling</t>
  </si>
  <si>
    <t>cell_type</t>
  </si>
  <si>
    <t>CTTGATTGTCAGTTTG_T164</t>
  </si>
  <si>
    <t>Epithelial</t>
  </si>
  <si>
    <t>Airway epithelium</t>
  </si>
  <si>
    <t>Basal</t>
  </si>
  <si>
    <t>Suprabasal</t>
  </si>
  <si>
    <t>None</t>
  </si>
  <si>
    <t>respiratory basal cell</t>
  </si>
  <si>
    <t>P3_3_CCACTACTCATTGCGA</t>
  </si>
  <si>
    <t>Basal resting</t>
  </si>
  <si>
    <t>GCCAAATCAAAGGCGT-SC56</t>
  </si>
  <si>
    <t>Endothelial</t>
  </si>
  <si>
    <t>Blood vessels</t>
  </si>
  <si>
    <t>EC capillary</t>
  </si>
  <si>
    <t>EC general capillary</t>
  </si>
  <si>
    <t>capillary endothelial cell</t>
  </si>
  <si>
    <t>P2_1_CCGGTAGCAGACAAGC</t>
  </si>
  <si>
    <t>EC aerocyte capillary</t>
  </si>
  <si>
    <t>TTTATGCAGTGTTAGA-1-HCATisStab7747198</t>
  </si>
  <si>
    <t>Stroma</t>
  </si>
  <si>
    <t>Smooth muscle</t>
  </si>
  <si>
    <t>SM activated stress response</t>
  </si>
  <si>
    <t>smooth muscle cell</t>
  </si>
  <si>
    <t>problem1: cell type在路径中间</t>
    <phoneticPr fontId="1" type="noConversion"/>
  </si>
  <si>
    <t>problem2: cell type相同，路径不同</t>
    <phoneticPr fontId="1" type="noConversion"/>
  </si>
  <si>
    <t>TCAATCTAGTTTAGGA_HD66</t>
  </si>
  <si>
    <t>Lymphatic EC</t>
  </si>
  <si>
    <t>Lymphatic EC differentiating</t>
  </si>
  <si>
    <t>endothelial cell of lymphatic vessel</t>
  </si>
  <si>
    <t>CTCTCGAGTGCTGATT_SC144</t>
  </si>
  <si>
    <t>Lymphatic EC mature</t>
  </si>
  <si>
    <t>0*</t>
    <phoneticPr fontId="1" type="noConversion"/>
  </si>
  <si>
    <t>exact_std</t>
    <phoneticPr fontId="1" type="noConversion"/>
  </si>
  <si>
    <t>hierarchy</t>
    <phoneticPr fontId="1" type="noConversion"/>
  </si>
  <si>
    <t>hierarchy_std</t>
    <phoneticPr fontId="1" type="noConversion"/>
  </si>
  <si>
    <t>l1_match</t>
    <phoneticPr fontId="1" type="noConversion"/>
  </si>
  <si>
    <t>l1_match_std</t>
    <phoneticPr fontId="1" type="noConversion"/>
  </si>
  <si>
    <t>l2_match</t>
    <phoneticPr fontId="1" type="noConversion"/>
  </si>
  <si>
    <t>l2_match_std</t>
    <phoneticPr fontId="1" type="noConversion"/>
  </si>
  <si>
    <t>l3_match</t>
    <phoneticPr fontId="1" type="noConversion"/>
  </si>
  <si>
    <t>l3_match_std</t>
    <phoneticPr fontId="1" type="noConversion"/>
  </si>
  <si>
    <t xml:space="preserve"> </t>
    <phoneticPr fontId="1" type="noConversion"/>
  </si>
  <si>
    <t>0.4385/0.4642</t>
    <phoneticPr fontId="1" type="noConversion"/>
  </si>
  <si>
    <t>0.0093/0.0105</t>
    <phoneticPr fontId="1" type="noConversion"/>
  </si>
  <si>
    <t>3.0794/3.1365</t>
    <phoneticPr fontId="1" type="noConversion"/>
  </si>
  <si>
    <t>0.0255/0.0253</t>
    <phoneticPr fontId="1" type="noConversion"/>
  </si>
  <si>
    <t>0.9776/0.9843</t>
    <phoneticPr fontId="1" type="noConversion"/>
  </si>
  <si>
    <t>0.0048/0.0041</t>
    <phoneticPr fontId="1" type="noConversion"/>
  </si>
  <si>
    <t>0.9105/0.9217</t>
    <phoneticPr fontId="1" type="noConversion"/>
  </si>
  <si>
    <t>0.0081/0.0078</t>
    <phoneticPr fontId="1" type="noConversion"/>
  </si>
  <si>
    <t>0.7528/0.7662</t>
    <phoneticPr fontId="1" type="noConversion"/>
  </si>
  <si>
    <t>0.0099/0.0101</t>
    <phoneticPr fontId="1" type="noConversion"/>
  </si>
  <si>
    <t>0.5011/0.5067</t>
    <phoneticPr fontId="1" type="noConversion"/>
  </si>
  <si>
    <t>0.0103/0.0107</t>
    <phoneticPr fontId="1" type="noConversion"/>
  </si>
  <si>
    <t>0.026/0.0267</t>
    <phoneticPr fontId="1" type="noConversion"/>
  </si>
  <si>
    <t>0.9843/0.9832</t>
    <phoneticPr fontId="1" type="noConversion"/>
  </si>
  <si>
    <t>0.004/0.0042</t>
    <phoneticPr fontId="1" type="noConversion"/>
  </si>
  <si>
    <t>0.9195/0.9094</t>
    <phoneticPr fontId="1" type="noConversion"/>
  </si>
  <si>
    <t>0.008/0.0077</t>
    <phoneticPr fontId="1" type="noConversion"/>
  </si>
  <si>
    <t>0.7808/0.7931</t>
    <phoneticPr fontId="1" type="noConversion"/>
  </si>
  <si>
    <t>0.0101/0.0102</t>
    <phoneticPr fontId="1" type="noConversion"/>
  </si>
  <si>
    <t>0.566/0.5738</t>
    <phoneticPr fontId="1" type="noConversion"/>
  </si>
  <si>
    <t>0.0110/0.0110</t>
    <phoneticPr fontId="1" type="noConversion"/>
  </si>
  <si>
    <t>3.3154/3.3289</t>
    <phoneticPr fontId="1" type="noConversion"/>
  </si>
  <si>
    <t>0.0242/0.0243</t>
    <phoneticPr fontId="1" type="noConversion"/>
  </si>
  <si>
    <t>0.9899/0.9877</t>
    <phoneticPr fontId="1" type="noConversion"/>
  </si>
  <si>
    <t>0.0033/0.0037</t>
    <phoneticPr fontId="1" type="noConversion"/>
  </si>
  <si>
    <t>0.9452/0.9430</t>
    <phoneticPr fontId="1" type="noConversion"/>
  </si>
  <si>
    <t>0.0069/0.0069</t>
    <phoneticPr fontId="1" type="noConversion"/>
  </si>
  <si>
    <t>0.8143/0.8244</t>
    <phoneticPr fontId="1" type="noConversion"/>
  </si>
  <si>
    <t>0.0097/0.0095</t>
    <phoneticPr fontId="1" type="noConversion"/>
  </si>
  <si>
    <t>0.0101/0.0104</t>
    <phoneticPr fontId="1" type="noConversion"/>
  </si>
  <si>
    <t>3.0604/3.1107</t>
    <phoneticPr fontId="1" type="noConversion"/>
  </si>
  <si>
    <t>0.0258/0.0251</t>
    <phoneticPr fontId="1" type="noConversion"/>
  </si>
  <si>
    <t>0.9810/0.9855</t>
    <phoneticPr fontId="1" type="noConversion"/>
  </si>
  <si>
    <t>0.0043/0.0038</t>
    <phoneticPr fontId="1" type="noConversion"/>
  </si>
  <si>
    <t>0.8993/0.9083</t>
    <phoneticPr fontId="1" type="noConversion"/>
  </si>
  <si>
    <t>0.0081/0.0076</t>
    <phoneticPr fontId="1" type="noConversion"/>
  </si>
  <si>
    <t>0.7427/0.7528</t>
    <phoneticPr fontId="1" type="noConversion"/>
  </si>
  <si>
    <t>0.0100/0.0102</t>
    <phoneticPr fontId="1" type="noConversion"/>
  </si>
  <si>
    <t>0.0103/0.0113</t>
    <phoneticPr fontId="1" type="noConversion"/>
  </si>
  <si>
    <t>3.2025/3.2338</t>
    <phoneticPr fontId="1" type="noConversion"/>
  </si>
  <si>
    <t>0.0251/0.0272</t>
    <phoneticPr fontId="1" type="noConversion"/>
  </si>
  <si>
    <t>0.9855/0.9843</t>
    <phoneticPr fontId="1" type="noConversion"/>
  </si>
  <si>
    <t>0.0040/0.0041</t>
    <phoneticPr fontId="1" type="noConversion"/>
  </si>
  <si>
    <t>0.9150/0.9139</t>
    <phoneticPr fontId="1" type="noConversion"/>
  </si>
  <si>
    <t>0.0078/0.0080</t>
    <phoneticPr fontId="1" type="noConversion"/>
  </si>
  <si>
    <t>0.7875/0.7942</t>
    <phoneticPr fontId="1" type="noConversion"/>
  </si>
  <si>
    <t>3.1857/3.1924</t>
    <phoneticPr fontId="1" type="noConversion"/>
  </si>
  <si>
    <t>关于baseline</t>
    <phoneticPr fontId="1" type="noConversion"/>
  </si>
  <si>
    <t>hlca_lp random guess</t>
    <phoneticPr fontId="1" type="noConversion"/>
  </si>
  <si>
    <t>exact                       : 0.0179  ± 0.0045  [95% CI: 0.0101, 0.0280]</t>
  </si>
  <si>
    <t>hierarchy_depth             : 0.5045  ± 0.0298  [95% CI: 0.4508, 0.5649]</t>
  </si>
  <si>
    <t>hierarchy_level_0_match_pct : 0.7148  ± 0.0144  [95% CI: 0.6846, 0.7427]</t>
  </si>
  <si>
    <t>hierarchy_level_1_match_pct : 0.2852  ± 0.0144  [95% CI: 0.2573, 0.3154]</t>
  </si>
  <si>
    <t>hierarchy_level_2_match_pct : 0.1510  ± 0.0113  [95% CI: 0.1298, 0.1756]</t>
  </si>
  <si>
    <t>hierarchy_level_3_match_pct : 0.0503  ± 0.0072  [95% CI: 0.0369, 0.0649]</t>
  </si>
  <si>
    <t>hierarchy_level_4_match_pct : 0.0179  ± 0.0045  [95% CI: 0.0101, 0.0280]</t>
  </si>
  <si>
    <t>hierarchy_depth_0_count     : 639.0000</t>
  </si>
  <si>
    <t>hierarchy_depth_1_count     : 120.0000</t>
  </si>
  <si>
    <t>hierarchy_depth_2_count     : 90.0000</t>
  </si>
  <si>
    <t>hierarchy_depth_3_count     : 29.0000</t>
  </si>
  <si>
    <t>hierarchy_depth_4_count     : 16.0000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</si>
</sst>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CCCCCC"/>
      <name val="Consolas"/>
      <family val="3"/>
    </font>
    <font>
      <sz val="7"/>
      <color rgb="FF569CD6"/>
      <name val="Consolas"/>
      <family val="3"/>
    </font>
    <font>
      <sz val="11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2" tint="-0.499984740745262"/>
      <name val="等线"/>
      <family val="2"/>
      <scheme val="minor"/>
    </font>
    <font>
      <sz val="11"/>
      <color theme="0" tint="-0.3499862666707357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4"/>
      <name val="等线"/>
      <family val="2"/>
      <charset val="134"/>
      <scheme val="minor"/>
    </font>
    <font>
      <sz val="11"/>
      <color theme="8" tint="-0.249977111117893"/>
      <name val="等线"/>
      <family val="2"/>
      <charset val="134"/>
      <scheme val="minor"/>
    </font>
    <font>
      <sz val="11"/>
      <color theme="8" tint="-0.249977111117893"/>
      <name val="等线"/>
      <family val="3"/>
      <charset val="134"/>
      <scheme val="minor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2" borderId="0" xfId="0" applyFont="1" applyFill="1"/>
    <xf numFmtId="0" fontId="7" fillId="2" borderId="0" xfId="0" applyFont="1" applyFill="1"/>
    <xf numFmtId="0" fontId="7" fillId="0" borderId="0" xfId="0" applyFon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8" fillId="0" borderId="0" xfId="0" applyFont="1"/>
    <xf numFmtId="0" fontId="0" fillId="4" borderId="0" xfId="0" applyFill="1"/>
    <xf numFmtId="0" fontId="6" fillId="0" borderId="0" xfId="0" applyFont="1"/>
    <xf numFmtId="0" fontId="9" fillId="0" borderId="0" xfId="0" applyFont="1"/>
    <xf numFmtId="0" fontId="0" fillId="5" borderId="0" xfId="0" applyFill="1"/>
    <xf numFmtId="0" fontId="10" fillId="0" borderId="0" xfId="0" applyFont="1"/>
    <xf numFmtId="0" fontId="4" fillId="2" borderId="0" xfId="0" applyFont="1" applyFill="1"/>
    <xf numFmtId="0" fontId="12" fillId="0" borderId="0" xfId="0" applyFont="1"/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zoomScale="160" zoomScaleNormal="160" workbookViewId="0">
      <selection activeCell="D1" sqref="D1"/>
    </sheetView>
  </sheetViews>
  <sheetFormatPr defaultRowHeight="14"/>
  <cols>
    <col min="1" max="1" width="13.08203125" customWidth="1"/>
    <col min="2" max="2" width="12.25" customWidth="1"/>
    <col min="3" max="3" width="11.08203125" customWidth="1"/>
    <col min="4" max="4" width="13" customWidth="1"/>
    <col min="5" max="5" width="13.08203125" customWidth="1"/>
    <col min="6" max="6" width="14.6640625" customWidth="1"/>
    <col min="7" max="7" width="13.6640625" customWidth="1"/>
  </cols>
  <sheetData>
    <row r="1" spans="1:7">
      <c r="A1" t="s">
        <v>0</v>
      </c>
      <c r="D1" t="s">
        <v>216</v>
      </c>
    </row>
    <row r="3" spans="1:7">
      <c r="D3" t="s">
        <v>7</v>
      </c>
      <c r="E3" t="s">
        <v>8</v>
      </c>
      <c r="F3" t="s">
        <v>9</v>
      </c>
    </row>
    <row r="4" spans="1:7">
      <c r="B4" t="s">
        <v>1</v>
      </c>
      <c r="C4" t="s">
        <v>2</v>
      </c>
      <c r="D4" s="1"/>
      <c r="E4" s="2"/>
      <c r="G4" t="s">
        <v>17</v>
      </c>
    </row>
    <row r="5" spans="1:7">
      <c r="C5" t="s">
        <v>3</v>
      </c>
      <c r="D5" t="s">
        <v>14</v>
      </c>
      <c r="E5" t="s">
        <v>25</v>
      </c>
      <c r="F5" s="3" t="s">
        <v>18</v>
      </c>
    </row>
    <row r="6" spans="1:7">
      <c r="C6" t="s">
        <v>4</v>
      </c>
      <c r="D6" t="s">
        <v>15</v>
      </c>
      <c r="E6" s="3" t="s">
        <v>26</v>
      </c>
      <c r="F6" s="3" t="s">
        <v>19</v>
      </c>
    </row>
    <row r="7" spans="1:7">
      <c r="B7" t="s">
        <v>5</v>
      </c>
      <c r="C7" t="s">
        <v>2</v>
      </c>
      <c r="D7" t="s">
        <v>16</v>
      </c>
      <c r="E7" t="s">
        <v>10</v>
      </c>
      <c r="F7" s="3" t="s">
        <v>20</v>
      </c>
    </row>
    <row r="8" spans="1:7">
      <c r="C8" t="s">
        <v>3</v>
      </c>
      <c r="D8" t="s">
        <v>16</v>
      </c>
      <c r="E8" t="s">
        <v>27</v>
      </c>
      <c r="F8" t="s">
        <v>13</v>
      </c>
    </row>
    <row r="9" spans="1:7">
      <c r="C9" t="s">
        <v>4</v>
      </c>
      <c r="D9" t="s">
        <v>11</v>
      </c>
      <c r="E9" t="s">
        <v>12</v>
      </c>
      <c r="F9" s="3" t="s">
        <v>21</v>
      </c>
    </row>
    <row r="10" spans="1:7">
      <c r="B10" t="s">
        <v>6</v>
      </c>
      <c r="C10" t="s">
        <v>2</v>
      </c>
      <c r="D10" t="s">
        <v>16</v>
      </c>
      <c r="E10" s="3" t="s">
        <v>28</v>
      </c>
      <c r="F10" s="3" t="s">
        <v>22</v>
      </c>
    </row>
    <row r="11" spans="1:7">
      <c r="C11" t="s">
        <v>3</v>
      </c>
      <c r="D11" t="s">
        <v>11</v>
      </c>
      <c r="E11" s="3" t="s">
        <v>29</v>
      </c>
      <c r="F11" s="3" t="s">
        <v>23</v>
      </c>
    </row>
    <row r="12" spans="1:7">
      <c r="C12" t="s">
        <v>4</v>
      </c>
      <c r="D12" t="s">
        <v>15</v>
      </c>
      <c r="E12" t="s">
        <v>30</v>
      </c>
      <c r="F12" s="3" t="s">
        <v>24</v>
      </c>
    </row>
    <row r="15" spans="1:7">
      <c r="A15" t="s">
        <v>32</v>
      </c>
    </row>
    <row r="16" spans="1:7">
      <c r="C16" t="s">
        <v>31</v>
      </c>
      <c r="D16" t="s">
        <v>7</v>
      </c>
      <c r="E16" t="s">
        <v>8</v>
      </c>
      <c r="F16" t="s">
        <v>9</v>
      </c>
    </row>
    <row r="17" spans="1:7">
      <c r="C17">
        <v>5</v>
      </c>
      <c r="D17">
        <v>3.2199999999999999E-2</v>
      </c>
      <c r="E17">
        <v>0.70960000000000001</v>
      </c>
      <c r="F17">
        <v>0.69350000000000001</v>
      </c>
    </row>
    <row r="18" spans="1:7">
      <c r="C18">
        <v>10</v>
      </c>
      <c r="D18">
        <v>0</v>
      </c>
      <c r="E18">
        <v>0.70960000000000001</v>
      </c>
      <c r="F18">
        <v>0.75800000000000001</v>
      </c>
    </row>
    <row r="19" spans="1:7">
      <c r="C19" s="8">
        <v>20</v>
      </c>
      <c r="D19" s="8">
        <v>0</v>
      </c>
      <c r="E19" s="8">
        <v>0.77410000000000001</v>
      </c>
      <c r="F19" s="8">
        <v>0.75800000000000001</v>
      </c>
    </row>
    <row r="20" spans="1:7">
      <c r="C20">
        <v>50</v>
      </c>
      <c r="D20">
        <v>0</v>
      </c>
      <c r="E20">
        <v>0.77410000000000001</v>
      </c>
      <c r="F20">
        <v>0.75800000000000001</v>
      </c>
    </row>
    <row r="21" spans="1:7">
      <c r="C21">
        <v>100</v>
      </c>
      <c r="D21">
        <v>3.2199999999999999E-2</v>
      </c>
      <c r="E21">
        <v>0.70960000000000001</v>
      </c>
      <c r="F21">
        <v>0.77410000000000001</v>
      </c>
    </row>
    <row r="22" spans="1:7">
      <c r="C22">
        <v>200</v>
      </c>
      <c r="D22">
        <v>0</v>
      </c>
      <c r="E22">
        <v>0.6774</v>
      </c>
      <c r="F22">
        <v>0.7419</v>
      </c>
    </row>
    <row r="24" spans="1:7">
      <c r="A24" t="s">
        <v>33</v>
      </c>
    </row>
    <row r="25" spans="1:7">
      <c r="C25" t="s">
        <v>31</v>
      </c>
      <c r="D25" t="s">
        <v>7</v>
      </c>
      <c r="E25" t="s">
        <v>8</v>
      </c>
      <c r="F25" t="s">
        <v>9</v>
      </c>
      <c r="G25" t="s">
        <v>34</v>
      </c>
    </row>
    <row r="26" spans="1:7">
      <c r="B26" t="s">
        <v>35</v>
      </c>
      <c r="C26">
        <v>5</v>
      </c>
      <c r="D26">
        <v>0.69669999999999999</v>
      </c>
      <c r="E26">
        <v>0.82579999999999998</v>
      </c>
      <c r="F26">
        <v>0.80640000000000001</v>
      </c>
      <c r="G26">
        <v>0.70320000000000005</v>
      </c>
    </row>
    <row r="27" spans="1:7">
      <c r="B27" t="s">
        <v>36</v>
      </c>
      <c r="C27">
        <v>10</v>
      </c>
      <c r="D27">
        <v>0</v>
      </c>
      <c r="E27">
        <v>0.5806</v>
      </c>
      <c r="F27">
        <v>0.82250000000000001</v>
      </c>
    </row>
    <row r="28" spans="1:7">
      <c r="B28" s="8" t="s">
        <v>35</v>
      </c>
      <c r="C28" s="8">
        <v>20</v>
      </c>
      <c r="D28" s="8">
        <v>0.73540000000000005</v>
      </c>
      <c r="E28" s="8">
        <v>0.84509999999999996</v>
      </c>
      <c r="F28" s="8">
        <v>0.8387</v>
      </c>
      <c r="G28">
        <v>0.7419</v>
      </c>
    </row>
    <row r="29" spans="1:7">
      <c r="B29" s="8" t="s">
        <v>35</v>
      </c>
      <c r="C29" s="8">
        <v>50</v>
      </c>
      <c r="D29" s="8">
        <v>0.76119999999999999</v>
      </c>
      <c r="E29" s="8">
        <v>0.84509999999999996</v>
      </c>
      <c r="F29" s="8">
        <v>0.8548</v>
      </c>
      <c r="G29">
        <v>0.76770000000000005</v>
      </c>
    </row>
    <row r="30" spans="1:7">
      <c r="B30" t="s">
        <v>36</v>
      </c>
      <c r="C30">
        <v>100</v>
      </c>
      <c r="D30">
        <v>3.2199999999999999E-2</v>
      </c>
      <c r="E30">
        <v>0.6129</v>
      </c>
      <c r="F30">
        <v>0.7903</v>
      </c>
    </row>
    <row r="31" spans="1:7">
      <c r="B31" t="s">
        <v>36</v>
      </c>
      <c r="C31">
        <v>200</v>
      </c>
      <c r="D31">
        <v>0</v>
      </c>
      <c r="E31">
        <v>0.70960000000000001</v>
      </c>
      <c r="F31">
        <v>0.87090000000000001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15AD-3034-496E-8277-B6ADBB30BA8E}">
  <dimension ref="A1:N60"/>
  <sheetViews>
    <sheetView topLeftCell="A40" zoomScale="145" zoomScaleNormal="145" workbookViewId="0">
      <selection activeCell="E23" sqref="E23"/>
    </sheetView>
  </sheetViews>
  <sheetFormatPr defaultRowHeight="14"/>
  <cols>
    <col min="2" max="2" width="9.9140625" customWidth="1"/>
    <col min="3" max="3" width="10.6640625" customWidth="1"/>
    <col min="4" max="4" width="13.6640625" customWidth="1"/>
    <col min="5" max="5" width="14.4140625" customWidth="1"/>
    <col min="6" max="6" width="14.75" customWidth="1"/>
    <col min="7" max="7" width="12.1640625" customWidth="1"/>
    <col min="8" max="8" width="14.4140625" customWidth="1"/>
    <col min="9" max="9" width="15.25" customWidth="1"/>
    <col min="10" max="10" width="12.83203125" customWidth="1"/>
    <col min="11" max="11" width="13.75" customWidth="1"/>
    <col min="12" max="12" width="13.5" customWidth="1"/>
    <col min="13" max="13" width="14.33203125" customWidth="1"/>
    <col min="14" max="14" width="12.08203125" customWidth="1"/>
  </cols>
  <sheetData>
    <row r="1" spans="1:10">
      <c r="A1" t="s">
        <v>37</v>
      </c>
      <c r="D1" t="s">
        <v>216</v>
      </c>
    </row>
    <row r="3" spans="1:10">
      <c r="A3" t="s">
        <v>46</v>
      </c>
    </row>
    <row r="4" spans="1:10">
      <c r="A4" t="s">
        <v>39</v>
      </c>
    </row>
    <row r="6" spans="1:10">
      <c r="C6" t="s">
        <v>7</v>
      </c>
      <c r="D6" t="s">
        <v>38</v>
      </c>
      <c r="E6" t="s">
        <v>34</v>
      </c>
      <c r="F6" t="s">
        <v>45</v>
      </c>
      <c r="G6" t="s">
        <v>41</v>
      </c>
      <c r="H6" t="s">
        <v>42</v>
      </c>
      <c r="I6" t="s">
        <v>43</v>
      </c>
      <c r="J6" t="s">
        <v>44</v>
      </c>
    </row>
    <row r="7" spans="1:10">
      <c r="A7" t="s">
        <v>77</v>
      </c>
      <c r="B7" s="7">
        <v>5</v>
      </c>
      <c r="C7" s="7">
        <v>0.60640000000000005</v>
      </c>
      <c r="D7" s="7">
        <v>0.70320000000000005</v>
      </c>
      <c r="E7" s="7">
        <v>0.63870000000000005</v>
      </c>
      <c r="F7" s="7">
        <f t="shared" ref="F7:F12" si="0">G7+H7+I7+J7</f>
        <v>1069316</v>
      </c>
      <c r="G7" s="7">
        <v>231446</v>
      </c>
      <c r="H7" s="7">
        <v>451693</v>
      </c>
      <c r="I7" s="7">
        <v>369530</v>
      </c>
      <c r="J7" s="7">
        <v>16647</v>
      </c>
    </row>
    <row r="8" spans="1:10">
      <c r="B8">
        <v>10</v>
      </c>
      <c r="C8">
        <v>0.53539999999999999</v>
      </c>
      <c r="D8">
        <v>0.69669999999999999</v>
      </c>
      <c r="E8">
        <v>0.58699999999999997</v>
      </c>
      <c r="F8">
        <f t="shared" si="0"/>
        <v>1144501</v>
      </c>
      <c r="G8">
        <v>215658</v>
      </c>
      <c r="H8">
        <v>490296</v>
      </c>
      <c r="I8">
        <v>420130</v>
      </c>
      <c r="J8">
        <v>18417</v>
      </c>
    </row>
    <row r="9" spans="1:10">
      <c r="B9" s="5">
        <v>20</v>
      </c>
      <c r="C9" s="5">
        <v>0.54830000000000001</v>
      </c>
      <c r="D9" s="5">
        <v>0.72250000000000003</v>
      </c>
      <c r="E9" s="5">
        <v>0.62580000000000002</v>
      </c>
      <c r="F9" s="5">
        <f t="shared" si="0"/>
        <v>1129590</v>
      </c>
      <c r="G9" s="5">
        <v>213353</v>
      </c>
      <c r="H9" s="5">
        <v>507762</v>
      </c>
      <c r="I9" s="5">
        <v>392109</v>
      </c>
      <c r="J9" s="5">
        <v>16366</v>
      </c>
    </row>
    <row r="10" spans="1:10">
      <c r="B10" s="6">
        <v>50</v>
      </c>
      <c r="C10" s="6">
        <v>0.52249999999999996</v>
      </c>
      <c r="D10" s="6">
        <v>0.67090000000000005</v>
      </c>
      <c r="E10" s="6">
        <v>0.5806</v>
      </c>
      <c r="F10" s="6">
        <f t="shared" si="0"/>
        <v>1163430</v>
      </c>
      <c r="G10" s="6">
        <v>287904</v>
      </c>
      <c r="H10" s="6">
        <v>480870</v>
      </c>
      <c r="I10" s="6">
        <v>377677</v>
      </c>
      <c r="J10" s="6">
        <v>16979</v>
      </c>
    </row>
    <row r="11" spans="1:10">
      <c r="B11" s="6">
        <v>100</v>
      </c>
      <c r="C11" s="6">
        <v>0.53539999999999999</v>
      </c>
      <c r="D11" s="6">
        <v>0.67090000000000005</v>
      </c>
      <c r="E11" s="6">
        <v>0.58699999999999997</v>
      </c>
      <c r="F11" s="6">
        <f t="shared" si="0"/>
        <v>1246769</v>
      </c>
      <c r="G11" s="6">
        <v>365760</v>
      </c>
      <c r="H11" s="6">
        <v>473394</v>
      </c>
      <c r="I11" s="6">
        <v>390712</v>
      </c>
      <c r="J11" s="6">
        <v>16903</v>
      </c>
    </row>
    <row r="12" spans="1:10">
      <c r="B12" s="6">
        <v>200</v>
      </c>
      <c r="C12" s="6">
        <v>0.54190000000000005</v>
      </c>
      <c r="D12" s="6">
        <v>0.6774</v>
      </c>
      <c r="E12" s="6">
        <v>0.57410000000000005</v>
      </c>
      <c r="F12" s="6">
        <f t="shared" si="0"/>
        <v>1403170</v>
      </c>
      <c r="G12" s="6">
        <v>543581</v>
      </c>
      <c r="H12" s="6">
        <v>450458</v>
      </c>
      <c r="I12" s="6">
        <v>392087</v>
      </c>
      <c r="J12" s="6">
        <v>17044</v>
      </c>
    </row>
    <row r="15" spans="1:10">
      <c r="A15" t="s">
        <v>40</v>
      </c>
    </row>
    <row r="16" spans="1:10">
      <c r="A16" t="s">
        <v>39</v>
      </c>
    </row>
    <row r="18" spans="1:14">
      <c r="C18" t="s">
        <v>7</v>
      </c>
      <c r="D18" t="s">
        <v>38</v>
      </c>
      <c r="E18" t="s">
        <v>34</v>
      </c>
    </row>
    <row r="19" spans="1:14">
      <c r="B19">
        <v>3</v>
      </c>
      <c r="C19">
        <v>0.54190000000000005</v>
      </c>
      <c r="D19">
        <v>0.69030000000000002</v>
      </c>
      <c r="E19">
        <v>0.60640000000000005</v>
      </c>
    </row>
    <row r="20" spans="1:14">
      <c r="B20">
        <v>5</v>
      </c>
      <c r="C20">
        <v>0.53539999999999999</v>
      </c>
      <c r="D20">
        <v>0.66449999999999998</v>
      </c>
      <c r="E20">
        <v>0.6</v>
      </c>
    </row>
    <row r="21" spans="1:14">
      <c r="B21" s="4">
        <v>10</v>
      </c>
      <c r="C21" s="4">
        <v>0.5806</v>
      </c>
      <c r="D21" s="4">
        <v>0.71609999999999996</v>
      </c>
      <c r="E21" s="4">
        <v>0.63870000000000005</v>
      </c>
    </row>
    <row r="22" spans="1:14">
      <c r="B22">
        <v>20</v>
      </c>
      <c r="C22">
        <v>0.56120000000000003</v>
      </c>
      <c r="D22">
        <v>0.69669999999999999</v>
      </c>
      <c r="E22">
        <v>0.63870000000000005</v>
      </c>
    </row>
    <row r="24" spans="1:14">
      <c r="A24" t="s">
        <v>47</v>
      </c>
    </row>
    <row r="25" spans="1:14">
      <c r="A25" t="s">
        <v>49</v>
      </c>
    </row>
    <row r="26" spans="1:14">
      <c r="B26" t="s">
        <v>211</v>
      </c>
      <c r="I26" t="s">
        <v>212</v>
      </c>
    </row>
    <row r="27" spans="1:14">
      <c r="D27" t="s">
        <v>7</v>
      </c>
      <c r="E27" t="s">
        <v>8</v>
      </c>
      <c r="F27" t="s">
        <v>34</v>
      </c>
      <c r="K27" t="s">
        <v>7</v>
      </c>
      <c r="L27" t="s">
        <v>8</v>
      </c>
      <c r="M27" t="s">
        <v>34</v>
      </c>
    </row>
    <row r="28" spans="1:14">
      <c r="B28" t="s">
        <v>1</v>
      </c>
      <c r="C28" t="s">
        <v>2</v>
      </c>
      <c r="D28" t="s">
        <v>50</v>
      </c>
      <c r="E28" t="s">
        <v>51</v>
      </c>
      <c r="F28" t="s">
        <v>52</v>
      </c>
      <c r="G28" t="s">
        <v>17</v>
      </c>
      <c r="I28" t="s">
        <v>1</v>
      </c>
      <c r="J28" t="s">
        <v>2</v>
      </c>
      <c r="K28" t="s">
        <v>184</v>
      </c>
      <c r="L28" t="s">
        <v>185</v>
      </c>
      <c r="M28" t="s">
        <v>186</v>
      </c>
      <c r="N28" t="s">
        <v>17</v>
      </c>
    </row>
    <row r="29" spans="1:14">
      <c r="C29" t="s">
        <v>3</v>
      </c>
      <c r="D29" t="s">
        <v>53</v>
      </c>
      <c r="E29" t="s">
        <v>54</v>
      </c>
      <c r="F29" t="s">
        <v>55</v>
      </c>
      <c r="J29" t="s">
        <v>3</v>
      </c>
      <c r="K29" t="s">
        <v>190</v>
      </c>
      <c r="L29" t="s">
        <v>191</v>
      </c>
      <c r="M29" t="s">
        <v>192</v>
      </c>
    </row>
    <row r="30" spans="1:14">
      <c r="C30" t="s">
        <v>4</v>
      </c>
      <c r="D30" t="s">
        <v>56</v>
      </c>
      <c r="E30" t="s">
        <v>57</v>
      </c>
      <c r="F30" t="s">
        <v>58</v>
      </c>
      <c r="J30" t="s">
        <v>4</v>
      </c>
      <c r="K30" t="s">
        <v>187</v>
      </c>
      <c r="L30" t="s">
        <v>188</v>
      </c>
      <c r="M30" t="s">
        <v>189</v>
      </c>
    </row>
    <row r="31" spans="1:14">
      <c r="B31" s="8" t="s">
        <v>48</v>
      </c>
      <c r="C31" t="s">
        <v>2</v>
      </c>
      <c r="D31" t="s">
        <v>59</v>
      </c>
      <c r="E31" t="s">
        <v>60</v>
      </c>
      <c r="F31" t="s">
        <v>61</v>
      </c>
      <c r="I31" s="8" t="s">
        <v>48</v>
      </c>
      <c r="J31" t="s">
        <v>2</v>
      </c>
      <c r="K31" t="s">
        <v>193</v>
      </c>
      <c r="L31" t="s">
        <v>194</v>
      </c>
      <c r="M31" t="s">
        <v>195</v>
      </c>
    </row>
    <row r="32" spans="1:14">
      <c r="C32" t="s">
        <v>3</v>
      </c>
      <c r="D32" t="s">
        <v>74</v>
      </c>
      <c r="E32" t="s">
        <v>75</v>
      </c>
      <c r="F32" t="s">
        <v>76</v>
      </c>
      <c r="J32" t="s">
        <v>3</v>
      </c>
      <c r="K32" t="s">
        <v>196</v>
      </c>
      <c r="L32" t="s">
        <v>197</v>
      </c>
      <c r="M32" t="s">
        <v>198</v>
      </c>
    </row>
    <row r="33" spans="1:13">
      <c r="C33" s="8" t="s">
        <v>4</v>
      </c>
      <c r="D33" s="8" t="s">
        <v>62</v>
      </c>
      <c r="E33" s="8" t="s">
        <v>63</v>
      </c>
      <c r="F33" s="8" t="s">
        <v>64</v>
      </c>
      <c r="J33" s="8" t="s">
        <v>4</v>
      </c>
      <c r="K33" s="8" t="s">
        <v>199</v>
      </c>
      <c r="L33" s="8" t="s">
        <v>200</v>
      </c>
      <c r="M33" s="8" t="s">
        <v>201</v>
      </c>
    </row>
    <row r="34" spans="1:13">
      <c r="B34" t="s">
        <v>6</v>
      </c>
      <c r="C34" t="s">
        <v>2</v>
      </c>
      <c r="D34" t="s">
        <v>65</v>
      </c>
      <c r="E34" t="s">
        <v>66</v>
      </c>
      <c r="F34" t="s">
        <v>67</v>
      </c>
      <c r="I34" t="s">
        <v>6</v>
      </c>
      <c r="J34" t="s">
        <v>2</v>
      </c>
      <c r="K34" t="s">
        <v>202</v>
      </c>
      <c r="L34" t="s">
        <v>203</v>
      </c>
      <c r="M34" t="s">
        <v>204</v>
      </c>
    </row>
    <row r="35" spans="1:13">
      <c r="C35" s="9" t="s">
        <v>3</v>
      </c>
      <c r="D35" s="9" t="s">
        <v>68</v>
      </c>
      <c r="E35" s="9" t="s">
        <v>69</v>
      </c>
      <c r="F35" s="9" t="s">
        <v>70</v>
      </c>
      <c r="J35" t="s">
        <v>3</v>
      </c>
      <c r="K35" t="s">
        <v>205</v>
      </c>
      <c r="L35" t="s">
        <v>206</v>
      </c>
      <c r="M35" t="s">
        <v>207</v>
      </c>
    </row>
    <row r="36" spans="1:13">
      <c r="C36" t="s">
        <v>4</v>
      </c>
      <c r="D36" t="s">
        <v>71</v>
      </c>
      <c r="E36" t="s">
        <v>72</v>
      </c>
      <c r="F36" t="s">
        <v>73</v>
      </c>
      <c r="J36" s="9" t="s">
        <v>4</v>
      </c>
      <c r="K36" s="9" t="s">
        <v>208</v>
      </c>
      <c r="L36" s="9" t="s">
        <v>209</v>
      </c>
      <c r="M36" s="9" t="s">
        <v>210</v>
      </c>
    </row>
    <row r="38" spans="1:13">
      <c r="A38" t="s">
        <v>78</v>
      </c>
    </row>
    <row r="39" spans="1:13">
      <c r="A39" t="s">
        <v>94</v>
      </c>
    </row>
    <row r="41" spans="1:13">
      <c r="D41" t="s">
        <v>7</v>
      </c>
      <c r="E41" t="s">
        <v>8</v>
      </c>
      <c r="F41" t="s">
        <v>34</v>
      </c>
    </row>
    <row r="42" spans="1:13">
      <c r="B42" t="s">
        <v>85</v>
      </c>
      <c r="C42" t="s">
        <v>79</v>
      </c>
      <c r="D42">
        <v>0.56769999999999998</v>
      </c>
      <c r="E42">
        <v>0.69669999999999999</v>
      </c>
      <c r="F42">
        <v>0.66449999999999998</v>
      </c>
      <c r="H42" t="s">
        <v>87</v>
      </c>
    </row>
    <row r="43" spans="1:13">
      <c r="C43" t="s">
        <v>80</v>
      </c>
      <c r="D43">
        <v>0.54190000000000005</v>
      </c>
      <c r="E43">
        <v>0.67090000000000005</v>
      </c>
      <c r="F43">
        <v>0.57410000000000005</v>
      </c>
      <c r="H43" t="s">
        <v>88</v>
      </c>
    </row>
    <row r="44" spans="1:13">
      <c r="C44" s="8" t="s">
        <v>81</v>
      </c>
      <c r="D44" s="8">
        <v>0.60640000000000005</v>
      </c>
      <c r="E44" s="8">
        <v>0.72899999999999998</v>
      </c>
      <c r="F44" s="8">
        <v>0.66449999999999998</v>
      </c>
      <c r="H44" t="s">
        <v>89</v>
      </c>
    </row>
    <row r="45" spans="1:13">
      <c r="C45" t="s">
        <v>82</v>
      </c>
      <c r="D45">
        <v>0.58699999999999997</v>
      </c>
      <c r="E45">
        <v>0.70960000000000001</v>
      </c>
      <c r="F45">
        <v>0.64510000000000001</v>
      </c>
      <c r="H45" t="s">
        <v>90</v>
      </c>
    </row>
    <row r="46" spans="1:13">
      <c r="C46" t="s">
        <v>83</v>
      </c>
      <c r="D46">
        <v>0.54190000000000005</v>
      </c>
      <c r="E46">
        <v>0.69669999999999999</v>
      </c>
      <c r="F46">
        <v>0.62580000000000002</v>
      </c>
      <c r="H46" t="s">
        <v>92</v>
      </c>
    </row>
    <row r="47" spans="1:13">
      <c r="C47" t="s">
        <v>84</v>
      </c>
      <c r="D47">
        <v>0.54190000000000005</v>
      </c>
      <c r="E47">
        <v>0.67090000000000005</v>
      </c>
      <c r="F47">
        <v>0.60640000000000005</v>
      </c>
      <c r="H47" t="s">
        <v>93</v>
      </c>
    </row>
    <row r="48" spans="1:13">
      <c r="C48" t="s">
        <v>91</v>
      </c>
      <c r="D48">
        <v>0.5806</v>
      </c>
      <c r="E48">
        <v>0.71609999999999996</v>
      </c>
      <c r="F48">
        <v>0.63219999999999998</v>
      </c>
    </row>
    <row r="49" spans="1:6">
      <c r="C49" s="8" t="s">
        <v>86</v>
      </c>
      <c r="D49" s="8">
        <v>0.5806</v>
      </c>
      <c r="E49" s="8">
        <v>0.71609999999999996</v>
      </c>
      <c r="F49" s="8">
        <v>0.63870000000000005</v>
      </c>
    </row>
    <row r="52" spans="1:6">
      <c r="A52" t="s">
        <v>95</v>
      </c>
    </row>
    <row r="53" spans="1:6">
      <c r="A53" t="s">
        <v>96</v>
      </c>
    </row>
    <row r="55" spans="1:6">
      <c r="B55" t="s">
        <v>97</v>
      </c>
      <c r="C55" t="s">
        <v>7</v>
      </c>
      <c r="D55" t="s">
        <v>8</v>
      </c>
      <c r="E55" t="s">
        <v>34</v>
      </c>
    </row>
    <row r="56" spans="1:6">
      <c r="B56">
        <v>42</v>
      </c>
      <c r="C56">
        <v>0.59189999999999998</v>
      </c>
      <c r="D56">
        <v>0.72899999999999998</v>
      </c>
      <c r="E56">
        <v>0.61609999999999998</v>
      </c>
    </row>
    <row r="57" spans="1:6">
      <c r="B57">
        <v>27</v>
      </c>
      <c r="C57">
        <v>0.61770000000000003</v>
      </c>
      <c r="D57">
        <v>0.74350000000000005</v>
      </c>
      <c r="E57">
        <v>0.65639999999999998</v>
      </c>
    </row>
    <row r="60" spans="1:6">
      <c r="B60" t="s">
        <v>98</v>
      </c>
      <c r="C60">
        <f>(C56+C57)/2</f>
        <v>0.6048</v>
      </c>
      <c r="D60">
        <f>(D56+D57)/2</f>
        <v>0.73625000000000007</v>
      </c>
      <c r="E60">
        <f>(E56+E57)/2</f>
        <v>0.63624999999999998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A0A6-A6A3-4E1C-BCB8-894EC0825A73}">
  <dimension ref="A1:G59"/>
  <sheetViews>
    <sheetView topLeftCell="A12" zoomScale="160" zoomScaleNormal="160" workbookViewId="0">
      <selection activeCell="D24" sqref="D24"/>
    </sheetView>
  </sheetViews>
  <sheetFormatPr defaultRowHeight="14"/>
  <cols>
    <col min="2" max="2" width="10.58203125" customWidth="1"/>
    <col min="4" max="4" width="13.6640625" customWidth="1"/>
    <col min="5" max="5" width="15.1640625" customWidth="1"/>
    <col min="6" max="6" width="14.4140625" customWidth="1"/>
    <col min="7" max="7" width="13.25" customWidth="1"/>
  </cols>
  <sheetData>
    <row r="1" spans="1:5">
      <c r="A1" t="s">
        <v>213</v>
      </c>
    </row>
    <row r="3" spans="1:5">
      <c r="A3" t="s">
        <v>40</v>
      </c>
    </row>
    <row r="4" spans="1:5">
      <c r="A4" t="s">
        <v>214</v>
      </c>
    </row>
    <row r="6" spans="1:5">
      <c r="C6" t="s">
        <v>7</v>
      </c>
      <c r="D6" t="s">
        <v>8</v>
      </c>
      <c r="E6" t="s">
        <v>34</v>
      </c>
    </row>
    <row r="7" spans="1:5">
      <c r="B7">
        <v>3</v>
      </c>
      <c r="C7">
        <v>0.62250000000000005</v>
      </c>
      <c r="D7">
        <v>0.74029999999999996</v>
      </c>
      <c r="E7">
        <v>0.629</v>
      </c>
    </row>
    <row r="8" spans="1:5">
      <c r="B8">
        <v>5</v>
      </c>
      <c r="C8">
        <v>0.60960000000000003</v>
      </c>
      <c r="D8">
        <v>0.71609999999999996</v>
      </c>
      <c r="E8">
        <v>0.6129</v>
      </c>
    </row>
    <row r="9" spans="1:5">
      <c r="B9" s="4">
        <v>10</v>
      </c>
      <c r="C9" s="4">
        <v>0.64029999999999998</v>
      </c>
      <c r="D9" s="4">
        <v>0.75</v>
      </c>
      <c r="E9" s="4">
        <v>0.64510000000000001</v>
      </c>
    </row>
    <row r="10" spans="1:5">
      <c r="B10">
        <v>20</v>
      </c>
      <c r="C10">
        <v>0.63700000000000001</v>
      </c>
      <c r="D10">
        <v>0.72740000000000005</v>
      </c>
      <c r="E10">
        <v>0.63700000000000001</v>
      </c>
    </row>
    <row r="11" spans="1:5">
      <c r="B11">
        <v>50</v>
      </c>
      <c r="C11">
        <v>0.60319999999999996</v>
      </c>
      <c r="D11">
        <v>0.70479999999999998</v>
      </c>
      <c r="E11">
        <v>0.6129</v>
      </c>
    </row>
    <row r="12" spans="1:5">
      <c r="B12">
        <v>100</v>
      </c>
      <c r="C12">
        <v>0.6048</v>
      </c>
      <c r="D12">
        <v>0.71609999999999996</v>
      </c>
      <c r="E12">
        <v>0.61450000000000005</v>
      </c>
    </row>
    <row r="15" spans="1:5">
      <c r="A15" t="s">
        <v>47</v>
      </c>
    </row>
    <row r="16" spans="1:5">
      <c r="A16" t="s">
        <v>215</v>
      </c>
    </row>
    <row r="18" spans="1:7">
      <c r="D18" t="s">
        <v>7</v>
      </c>
      <c r="E18" t="s">
        <v>8</v>
      </c>
      <c r="F18" t="s">
        <v>34</v>
      </c>
    </row>
    <row r="19" spans="1:7">
      <c r="B19" t="s">
        <v>1</v>
      </c>
      <c r="C19" t="s">
        <v>2</v>
      </c>
      <c r="D19" t="s">
        <v>184</v>
      </c>
      <c r="E19" t="s">
        <v>185</v>
      </c>
      <c r="F19" t="s">
        <v>186</v>
      </c>
      <c r="G19" t="s">
        <v>17</v>
      </c>
    </row>
    <row r="20" spans="1:7">
      <c r="C20" t="s">
        <v>3</v>
      </c>
      <c r="D20" t="s">
        <v>190</v>
      </c>
      <c r="E20" t="s">
        <v>191</v>
      </c>
      <c r="F20" t="s">
        <v>192</v>
      </c>
    </row>
    <row r="21" spans="1:7">
      <c r="C21" t="s">
        <v>4</v>
      </c>
      <c r="D21" t="s">
        <v>187</v>
      </c>
      <c r="E21" t="s">
        <v>188</v>
      </c>
      <c r="F21" t="s">
        <v>189</v>
      </c>
    </row>
    <row r="22" spans="1:7">
      <c r="B22" s="8" t="s">
        <v>48</v>
      </c>
      <c r="C22" s="11" t="s">
        <v>2</v>
      </c>
      <c r="D22" s="11" t="s">
        <v>193</v>
      </c>
      <c r="E22" s="11" t="s">
        <v>194</v>
      </c>
      <c r="F22" s="11" t="s">
        <v>195</v>
      </c>
    </row>
    <row r="23" spans="1:7">
      <c r="C23" t="s">
        <v>3</v>
      </c>
      <c r="D23" t="s">
        <v>196</v>
      </c>
      <c r="E23" t="s">
        <v>197</v>
      </c>
      <c r="F23" t="s">
        <v>198</v>
      </c>
    </row>
    <row r="24" spans="1:7">
      <c r="C24" s="8" t="s">
        <v>4</v>
      </c>
      <c r="D24" s="8" t="s">
        <v>199</v>
      </c>
      <c r="E24" s="8" t="s">
        <v>200</v>
      </c>
      <c r="F24" s="8" t="s">
        <v>201</v>
      </c>
    </row>
    <row r="25" spans="1:7">
      <c r="B25" t="s">
        <v>6</v>
      </c>
      <c r="C25" t="s">
        <v>2</v>
      </c>
      <c r="D25" t="s">
        <v>202</v>
      </c>
      <c r="E25" t="s">
        <v>203</v>
      </c>
      <c r="F25" t="s">
        <v>204</v>
      </c>
    </row>
    <row r="26" spans="1:7">
      <c r="C26" t="s">
        <v>3</v>
      </c>
      <c r="D26" t="s">
        <v>205</v>
      </c>
      <c r="E26" t="s">
        <v>206</v>
      </c>
      <c r="F26" t="s">
        <v>207</v>
      </c>
    </row>
    <row r="27" spans="1:7">
      <c r="C27" s="9" t="s">
        <v>4</v>
      </c>
      <c r="D27" s="9" t="s">
        <v>208</v>
      </c>
      <c r="E27" s="9" t="s">
        <v>209</v>
      </c>
      <c r="F27" s="9" t="s">
        <v>210</v>
      </c>
    </row>
    <row r="30" spans="1:7">
      <c r="A30" t="s">
        <v>46</v>
      </c>
    </row>
    <row r="31" spans="1:7">
      <c r="A31" t="s">
        <v>217</v>
      </c>
    </row>
    <row r="33" spans="1:5">
      <c r="C33" t="s">
        <v>7</v>
      </c>
      <c r="D33" t="s">
        <v>38</v>
      </c>
      <c r="E33" t="s">
        <v>34</v>
      </c>
    </row>
    <row r="34" spans="1:5">
      <c r="B34">
        <v>5</v>
      </c>
      <c r="C34">
        <v>0.62250000000000005</v>
      </c>
      <c r="D34">
        <v>0.72409999999999997</v>
      </c>
      <c r="E34">
        <v>0.629</v>
      </c>
    </row>
    <row r="35" spans="1:5">
      <c r="B35">
        <v>10</v>
      </c>
      <c r="C35">
        <v>0.61929999999999996</v>
      </c>
      <c r="D35">
        <v>0.72740000000000005</v>
      </c>
      <c r="E35">
        <v>0.629</v>
      </c>
    </row>
    <row r="36" spans="1:5">
      <c r="B36" s="8">
        <v>20</v>
      </c>
      <c r="C36" s="8">
        <v>0.63060000000000005</v>
      </c>
      <c r="D36" s="8">
        <v>0.7419</v>
      </c>
      <c r="E36" s="8">
        <v>0.63539999999999996</v>
      </c>
    </row>
    <row r="37" spans="1:5">
      <c r="B37">
        <v>50</v>
      </c>
      <c r="C37">
        <v>0.59189999999999998</v>
      </c>
      <c r="D37">
        <v>0.70640000000000003</v>
      </c>
      <c r="E37">
        <v>0.60319999999999996</v>
      </c>
    </row>
    <row r="38" spans="1:5">
      <c r="B38">
        <v>100</v>
      </c>
      <c r="C38">
        <v>0.61929999999999996</v>
      </c>
      <c r="D38">
        <v>0.73380000000000001</v>
      </c>
      <c r="E38">
        <v>0.62739999999999996</v>
      </c>
    </row>
    <row r="39" spans="1:5">
      <c r="B39">
        <v>200</v>
      </c>
      <c r="C39">
        <v>0.60960000000000003</v>
      </c>
      <c r="D39">
        <v>0.71450000000000002</v>
      </c>
      <c r="E39">
        <v>0.61450000000000005</v>
      </c>
    </row>
    <row r="41" spans="1:5">
      <c r="A41" t="s">
        <v>220</v>
      </c>
    </row>
    <row r="42" spans="1:5">
      <c r="A42" t="s">
        <v>222</v>
      </c>
    </row>
    <row r="43" spans="1:5">
      <c r="A43" t="s">
        <v>224</v>
      </c>
    </row>
    <row r="44" spans="1:5">
      <c r="D44" t="s">
        <v>218</v>
      </c>
      <c r="E44" t="s">
        <v>219</v>
      </c>
    </row>
    <row r="45" spans="1:5">
      <c r="B45" t="s">
        <v>1</v>
      </c>
      <c r="C45" t="s">
        <v>2</v>
      </c>
      <c r="D45">
        <v>0.57740000000000002</v>
      </c>
      <c r="E45" s="10">
        <v>0.55320000000000003</v>
      </c>
    </row>
    <row r="46" spans="1:5">
      <c r="C46" t="s">
        <v>3</v>
      </c>
      <c r="D46" s="10">
        <v>0.4854</v>
      </c>
      <c r="E46">
        <v>0.52580000000000005</v>
      </c>
    </row>
    <row r="47" spans="1:5">
      <c r="C47" t="s">
        <v>4</v>
      </c>
      <c r="D47" s="10">
        <v>0.54510000000000003</v>
      </c>
      <c r="E47">
        <v>0.54830000000000001</v>
      </c>
    </row>
    <row r="48" spans="1:5">
      <c r="B48" t="s">
        <v>48</v>
      </c>
      <c r="C48" t="s">
        <v>2</v>
      </c>
      <c r="D48">
        <v>0.59670000000000001</v>
      </c>
      <c r="E48" s="10">
        <v>0.59509999999999996</v>
      </c>
    </row>
    <row r="49" spans="1:5">
      <c r="C49" t="s">
        <v>3</v>
      </c>
      <c r="D49" s="10">
        <v>0.53869999999999996</v>
      </c>
      <c r="E49">
        <v>0.54830000000000001</v>
      </c>
    </row>
    <row r="50" spans="1:5">
      <c r="C50" t="s">
        <v>4</v>
      </c>
      <c r="D50" s="8">
        <v>0.63700000000000001</v>
      </c>
      <c r="E50" s="10">
        <v>0.62739999999999996</v>
      </c>
    </row>
    <row r="53" spans="1:5">
      <c r="A53" t="s">
        <v>221</v>
      </c>
    </row>
    <row r="54" spans="1:5">
      <c r="A54" t="s">
        <v>223</v>
      </c>
    </row>
    <row r="55" spans="1:5">
      <c r="A55" t="s">
        <v>224</v>
      </c>
    </row>
    <row r="57" spans="1:5">
      <c r="D57" t="s">
        <v>225</v>
      </c>
      <c r="E57" t="s">
        <v>226</v>
      </c>
    </row>
    <row r="58" spans="1:5">
      <c r="B58" t="s">
        <v>48</v>
      </c>
      <c r="C58" t="s">
        <v>227</v>
      </c>
      <c r="D58">
        <v>0.59509999999999996</v>
      </c>
      <c r="E58">
        <v>0.50639999999999996</v>
      </c>
    </row>
    <row r="59" spans="1:5">
      <c r="B59" t="s">
        <v>48</v>
      </c>
      <c r="C59" t="s">
        <v>228</v>
      </c>
      <c r="D59">
        <v>0.62739999999999996</v>
      </c>
      <c r="E59">
        <v>0.55800000000000005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B481-C4AE-4357-BA09-35DD73E84078}">
  <dimension ref="A1:G40"/>
  <sheetViews>
    <sheetView zoomScale="160" zoomScaleNormal="160" workbookViewId="0">
      <selection activeCell="D6" sqref="D6:D14"/>
    </sheetView>
  </sheetViews>
  <sheetFormatPr defaultRowHeight="14"/>
  <cols>
    <col min="2" max="2" width="10.9140625" customWidth="1"/>
    <col min="4" max="4" width="12.5" customWidth="1"/>
    <col min="5" max="5" width="13" customWidth="1"/>
    <col min="6" max="6" width="15.83203125" customWidth="1"/>
  </cols>
  <sheetData>
    <row r="1" spans="1:7">
      <c r="A1" t="s">
        <v>99</v>
      </c>
    </row>
    <row r="2" spans="1:7">
      <c r="A2" t="s">
        <v>49</v>
      </c>
    </row>
    <row r="3" spans="1:7">
      <c r="A3" t="s">
        <v>100</v>
      </c>
    </row>
    <row r="5" spans="1:7">
      <c r="D5" t="s">
        <v>7</v>
      </c>
      <c r="E5" t="s">
        <v>8</v>
      </c>
      <c r="F5" t="s">
        <v>34</v>
      </c>
    </row>
    <row r="6" spans="1:7">
      <c r="B6" t="s">
        <v>1</v>
      </c>
      <c r="C6" t="s">
        <v>2</v>
      </c>
      <c r="D6" t="s">
        <v>116</v>
      </c>
      <c r="E6" t="s">
        <v>117</v>
      </c>
      <c r="F6" t="s">
        <v>118</v>
      </c>
      <c r="G6" t="s">
        <v>17</v>
      </c>
    </row>
    <row r="7" spans="1:7">
      <c r="C7" t="s">
        <v>3</v>
      </c>
      <c r="D7" t="s">
        <v>122</v>
      </c>
      <c r="E7" t="s">
        <v>123</v>
      </c>
      <c r="F7" t="s">
        <v>124</v>
      </c>
    </row>
    <row r="8" spans="1:7">
      <c r="C8" t="s">
        <v>4</v>
      </c>
      <c r="D8" t="s">
        <v>119</v>
      </c>
      <c r="E8" t="s">
        <v>120</v>
      </c>
      <c r="F8" t="s">
        <v>121</v>
      </c>
    </row>
    <row r="9" spans="1:7">
      <c r="B9" s="8" t="s">
        <v>48</v>
      </c>
      <c r="C9" s="11" t="s">
        <v>2</v>
      </c>
      <c r="D9" s="11" t="s">
        <v>101</v>
      </c>
      <c r="E9" s="11" t="s">
        <v>102</v>
      </c>
      <c r="F9" s="11" t="s">
        <v>103</v>
      </c>
    </row>
    <row r="10" spans="1:7">
      <c r="C10" t="s">
        <v>3</v>
      </c>
      <c r="D10" t="s">
        <v>107</v>
      </c>
      <c r="E10" t="s">
        <v>108</v>
      </c>
      <c r="F10" t="s">
        <v>109</v>
      </c>
    </row>
    <row r="11" spans="1:7">
      <c r="C11" s="8" t="s">
        <v>4</v>
      </c>
      <c r="D11" s="8" t="s">
        <v>104</v>
      </c>
      <c r="E11" s="8" t="s">
        <v>105</v>
      </c>
      <c r="F11" s="8" t="s">
        <v>106</v>
      </c>
    </row>
    <row r="12" spans="1:7">
      <c r="B12" t="s">
        <v>6</v>
      </c>
      <c r="C12" t="s">
        <v>2</v>
      </c>
      <c r="D12" t="s">
        <v>110</v>
      </c>
      <c r="E12" t="s">
        <v>111</v>
      </c>
      <c r="F12" t="s">
        <v>112</v>
      </c>
    </row>
    <row r="13" spans="1:7">
      <c r="C13" s="9" t="s">
        <v>3</v>
      </c>
      <c r="D13" s="9" t="s">
        <v>113</v>
      </c>
      <c r="E13" s="9" t="s">
        <v>114</v>
      </c>
      <c r="F13" s="9" t="s">
        <v>115</v>
      </c>
    </row>
    <row r="14" spans="1:7">
      <c r="C14" t="s">
        <v>4</v>
      </c>
      <c r="D14" t="s">
        <v>125</v>
      </c>
      <c r="E14" t="s">
        <v>126</v>
      </c>
      <c r="F14" t="s">
        <v>127</v>
      </c>
    </row>
    <row r="16" spans="1:7">
      <c r="A16" t="s">
        <v>128</v>
      </c>
    </row>
    <row r="18" spans="1:7">
      <c r="D18" t="s">
        <v>7</v>
      </c>
      <c r="E18" t="s">
        <v>8</v>
      </c>
      <c r="F18" t="s">
        <v>34</v>
      </c>
    </row>
    <row r="19" spans="1:7">
      <c r="B19" s="8" t="s">
        <v>1</v>
      </c>
      <c r="C19" s="11" t="s">
        <v>2</v>
      </c>
      <c r="D19" s="11" t="s">
        <v>129</v>
      </c>
      <c r="E19" s="11" t="s">
        <v>130</v>
      </c>
      <c r="F19" s="11" t="s">
        <v>131</v>
      </c>
      <c r="G19" t="s">
        <v>17</v>
      </c>
    </row>
    <row r="20" spans="1:7">
      <c r="C20" t="s">
        <v>3</v>
      </c>
      <c r="D20" t="s">
        <v>132</v>
      </c>
      <c r="E20" t="s">
        <v>133</v>
      </c>
      <c r="F20" t="s">
        <v>134</v>
      </c>
    </row>
    <row r="21" spans="1:7">
      <c r="C21" s="8" t="s">
        <v>4</v>
      </c>
      <c r="D21" s="8" t="s">
        <v>135</v>
      </c>
      <c r="E21" s="8" t="s">
        <v>136</v>
      </c>
      <c r="F21" s="8" t="s">
        <v>137</v>
      </c>
    </row>
    <row r="22" spans="1:7">
      <c r="B22" t="s">
        <v>48</v>
      </c>
      <c r="C22" t="s">
        <v>2</v>
      </c>
      <c r="D22" t="s">
        <v>138</v>
      </c>
      <c r="E22" t="s">
        <v>139</v>
      </c>
      <c r="F22" t="s">
        <v>140</v>
      </c>
    </row>
    <row r="23" spans="1:7">
      <c r="C23" t="s">
        <v>3</v>
      </c>
      <c r="D23" t="s">
        <v>144</v>
      </c>
      <c r="E23" t="s">
        <v>145</v>
      </c>
      <c r="F23" t="s">
        <v>146</v>
      </c>
    </row>
    <row r="24" spans="1:7">
      <c r="C24" t="s">
        <v>4</v>
      </c>
      <c r="D24" t="s">
        <v>141</v>
      </c>
      <c r="E24" t="s">
        <v>142</v>
      </c>
      <c r="F24" t="s">
        <v>143</v>
      </c>
    </row>
    <row r="25" spans="1:7">
      <c r="B25" t="s">
        <v>6</v>
      </c>
      <c r="C25" t="s">
        <v>2</v>
      </c>
      <c r="D25" t="s">
        <v>147</v>
      </c>
      <c r="E25" t="s">
        <v>148</v>
      </c>
      <c r="F25" t="s">
        <v>149</v>
      </c>
    </row>
    <row r="26" spans="1:7">
      <c r="C26" s="9" t="s">
        <v>3</v>
      </c>
      <c r="D26" s="9" t="s">
        <v>153</v>
      </c>
      <c r="E26" s="9" t="s">
        <v>154</v>
      </c>
      <c r="F26" s="9" t="s">
        <v>155</v>
      </c>
    </row>
    <row r="27" spans="1:7">
      <c r="C27" t="s">
        <v>4</v>
      </c>
      <c r="D27" t="s">
        <v>150</v>
      </c>
      <c r="E27" t="s">
        <v>151</v>
      </c>
      <c r="F27" t="s">
        <v>152</v>
      </c>
    </row>
    <row r="29" spans="1:7">
      <c r="A29" t="s">
        <v>156</v>
      </c>
    </row>
    <row r="31" spans="1:7">
      <c r="D31" t="s">
        <v>7</v>
      </c>
      <c r="E31" t="s">
        <v>8</v>
      </c>
      <c r="F31" t="s">
        <v>34</v>
      </c>
    </row>
    <row r="32" spans="1:7">
      <c r="B32" t="s">
        <v>1</v>
      </c>
      <c r="C32" t="s">
        <v>2</v>
      </c>
      <c r="D32" t="s">
        <v>157</v>
      </c>
      <c r="E32" t="s">
        <v>158</v>
      </c>
      <c r="F32" t="s">
        <v>159</v>
      </c>
      <c r="G32" t="s">
        <v>17</v>
      </c>
    </row>
    <row r="33" spans="2:6">
      <c r="C33" t="s">
        <v>3</v>
      </c>
      <c r="D33" t="s">
        <v>160</v>
      </c>
      <c r="E33" t="s">
        <v>161</v>
      </c>
      <c r="F33" t="s">
        <v>162</v>
      </c>
    </row>
    <row r="34" spans="2:6">
      <c r="C34" t="s">
        <v>4</v>
      </c>
      <c r="D34" t="s">
        <v>163</v>
      </c>
      <c r="E34" t="s">
        <v>164</v>
      </c>
      <c r="F34" t="s">
        <v>165</v>
      </c>
    </row>
    <row r="35" spans="2:6">
      <c r="B35" s="8" t="s">
        <v>48</v>
      </c>
      <c r="C35" s="11" t="s">
        <v>2</v>
      </c>
      <c r="D35" s="11" t="s">
        <v>166</v>
      </c>
      <c r="E35" s="11" t="s">
        <v>167</v>
      </c>
      <c r="F35" s="11" t="s">
        <v>168</v>
      </c>
    </row>
    <row r="36" spans="2:6">
      <c r="C36" t="s">
        <v>3</v>
      </c>
      <c r="D36" t="s">
        <v>172</v>
      </c>
      <c r="E36" t="s">
        <v>173</v>
      </c>
      <c r="F36" t="s">
        <v>174</v>
      </c>
    </row>
    <row r="37" spans="2:6">
      <c r="C37" s="8" t="s">
        <v>4</v>
      </c>
      <c r="D37" s="8" t="s">
        <v>169</v>
      </c>
      <c r="E37" s="8" t="s">
        <v>170</v>
      </c>
      <c r="F37" s="8" t="s">
        <v>171</v>
      </c>
    </row>
    <row r="38" spans="2:6">
      <c r="B38" t="s">
        <v>6</v>
      </c>
      <c r="C38" s="9" t="s">
        <v>2</v>
      </c>
      <c r="D38" s="9" t="s">
        <v>175</v>
      </c>
      <c r="E38" s="9" t="s">
        <v>176</v>
      </c>
      <c r="F38" s="9" t="s">
        <v>177</v>
      </c>
    </row>
    <row r="39" spans="2:6">
      <c r="C39" t="s">
        <v>3</v>
      </c>
      <c r="D39" t="s">
        <v>178</v>
      </c>
      <c r="E39" t="s">
        <v>179</v>
      </c>
      <c r="F39" t="s">
        <v>180</v>
      </c>
    </row>
    <row r="40" spans="2:6">
      <c r="C40" t="s">
        <v>4</v>
      </c>
      <c r="D40" t="s">
        <v>181</v>
      </c>
      <c r="E40" t="s">
        <v>182</v>
      </c>
      <c r="F40" t="s">
        <v>183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FF81-215D-4736-9178-BB0D016FFD6C}">
  <dimension ref="A1:K96"/>
  <sheetViews>
    <sheetView topLeftCell="A34" zoomScale="145" zoomScaleNormal="145" workbookViewId="0">
      <selection activeCell="B48" sqref="B48:H48"/>
    </sheetView>
  </sheetViews>
  <sheetFormatPr defaultRowHeight="14"/>
  <cols>
    <col min="1" max="1" width="15.6640625" customWidth="1"/>
    <col min="2" max="2" width="12.08203125" customWidth="1"/>
    <col min="3" max="3" width="12.58203125" customWidth="1"/>
    <col min="4" max="4" width="12.83203125" customWidth="1"/>
    <col min="5" max="5" width="14.08203125" customWidth="1"/>
    <col min="6" max="6" width="14.25" customWidth="1"/>
    <col min="7" max="7" width="12.08203125" customWidth="1"/>
    <col min="8" max="8" width="12.33203125" customWidth="1"/>
    <col min="9" max="9" width="12.75" customWidth="1"/>
  </cols>
  <sheetData>
    <row r="1" spans="1:9">
      <c r="A1" t="s">
        <v>229</v>
      </c>
      <c r="C1" t="s">
        <v>281</v>
      </c>
    </row>
    <row r="2" spans="1:9">
      <c r="A2" t="s">
        <v>213</v>
      </c>
    </row>
    <row r="4" spans="1:9">
      <c r="A4" t="s">
        <v>230</v>
      </c>
    </row>
    <row r="5" spans="1:9">
      <c r="A5" t="s">
        <v>240</v>
      </c>
      <c r="D5" t="s">
        <v>241</v>
      </c>
    </row>
    <row r="7" spans="1:9">
      <c r="D7" t="s">
        <v>7</v>
      </c>
      <c r="E7" t="s">
        <v>294</v>
      </c>
      <c r="F7" t="s">
        <v>286</v>
      </c>
      <c r="G7" t="s">
        <v>295</v>
      </c>
      <c r="H7" t="s">
        <v>296</v>
      </c>
      <c r="I7" t="s">
        <v>297</v>
      </c>
    </row>
    <row r="8" spans="1:9">
      <c r="B8" t="s">
        <v>1</v>
      </c>
      <c r="C8" t="s">
        <v>2</v>
      </c>
      <c r="D8">
        <v>0.40970000000000001</v>
      </c>
      <c r="E8">
        <v>1.44E-2</v>
      </c>
      <c r="F8">
        <v>1.0919000000000001</v>
      </c>
      <c r="G8">
        <v>2.58E-2</v>
      </c>
      <c r="H8">
        <v>0.68230000000000002</v>
      </c>
      <c r="I8">
        <v>1.4800000000000001E-2</v>
      </c>
    </row>
    <row r="9" spans="1:9">
      <c r="C9" t="s">
        <v>3</v>
      </c>
      <c r="D9">
        <v>0.37580000000000002</v>
      </c>
      <c r="E9">
        <v>1.44E-2</v>
      </c>
      <c r="F9">
        <v>0.93230000000000002</v>
      </c>
      <c r="G9">
        <v>2.7400000000000001E-2</v>
      </c>
      <c r="H9">
        <v>0.55649999999999999</v>
      </c>
      <c r="I9">
        <v>1.5100000000000001E-2</v>
      </c>
    </row>
    <row r="10" spans="1:9">
      <c r="C10" t="s">
        <v>4</v>
      </c>
      <c r="D10">
        <v>0.55810000000000004</v>
      </c>
      <c r="E10">
        <v>1.5699999999999999E-2</v>
      </c>
      <c r="F10">
        <v>1.3177000000000001</v>
      </c>
      <c r="G10">
        <v>2.8799999999999999E-2</v>
      </c>
      <c r="H10">
        <v>0.75970000000000004</v>
      </c>
      <c r="I10">
        <v>1.55E-2</v>
      </c>
    </row>
    <row r="11" spans="1:9">
      <c r="B11" s="8" t="s">
        <v>48</v>
      </c>
      <c r="C11" t="s">
        <v>2</v>
      </c>
      <c r="D11">
        <v>0.39350000000000002</v>
      </c>
      <c r="E11">
        <v>1.38E-2</v>
      </c>
      <c r="F11">
        <v>1.0274000000000001</v>
      </c>
      <c r="G11">
        <v>2.58E-2</v>
      </c>
      <c r="H11">
        <v>0.63390000000000002</v>
      </c>
      <c r="I11">
        <v>1.47E-2</v>
      </c>
    </row>
    <row r="12" spans="1:9">
      <c r="C12" t="s">
        <v>3</v>
      </c>
      <c r="D12">
        <v>0.39350000000000002</v>
      </c>
      <c r="E12">
        <v>1.3599999999999999E-2</v>
      </c>
      <c r="F12">
        <v>0.94840000000000002</v>
      </c>
      <c r="G12">
        <v>2.58E-2</v>
      </c>
      <c r="H12">
        <v>0.55479999999999996</v>
      </c>
      <c r="I12">
        <v>1.43E-2</v>
      </c>
    </row>
    <row r="13" spans="1:9">
      <c r="C13" s="8" t="s">
        <v>4</v>
      </c>
      <c r="D13" s="8">
        <v>0.57579999999999998</v>
      </c>
      <c r="E13" s="8">
        <v>1.46E-2</v>
      </c>
      <c r="F13" s="8">
        <v>1.3452</v>
      </c>
      <c r="G13" s="8">
        <v>2.5700000000000001E-2</v>
      </c>
      <c r="H13" s="8">
        <v>0.76939999999999997</v>
      </c>
      <c r="I13" s="8">
        <v>1.34E-2</v>
      </c>
    </row>
    <row r="14" spans="1:9">
      <c r="B14" s="9" t="s">
        <v>231</v>
      </c>
      <c r="C14" t="s">
        <v>2</v>
      </c>
      <c r="D14">
        <v>0.42099999999999999</v>
      </c>
      <c r="E14">
        <v>1.14E-2</v>
      </c>
      <c r="F14">
        <v>1.1257999999999999</v>
      </c>
      <c r="G14">
        <v>1.9800000000000002E-2</v>
      </c>
      <c r="H14">
        <v>0.70479999999999998</v>
      </c>
      <c r="I14">
        <v>1.17E-2</v>
      </c>
    </row>
    <row r="15" spans="1:9">
      <c r="C15" t="s">
        <v>3</v>
      </c>
      <c r="D15">
        <v>0.66610000000000003</v>
      </c>
      <c r="E15">
        <v>1.1900000000000001E-2</v>
      </c>
      <c r="F15">
        <v>1.5145</v>
      </c>
      <c r="G15">
        <v>1.89E-2</v>
      </c>
      <c r="H15">
        <v>0.84840000000000004</v>
      </c>
      <c r="I15">
        <v>9.1000000000000004E-3</v>
      </c>
    </row>
    <row r="16" spans="1:9">
      <c r="C16" s="9" t="s">
        <v>4</v>
      </c>
      <c r="D16" s="9">
        <v>0.68059999999999998</v>
      </c>
      <c r="E16" s="9">
        <v>1.0200000000000001E-2</v>
      </c>
      <c r="F16" s="9">
        <v>1.5339</v>
      </c>
      <c r="G16" s="9">
        <v>1.7100000000000001E-2</v>
      </c>
      <c r="H16" s="9">
        <v>0.85319999999999996</v>
      </c>
      <c r="I16" s="9">
        <v>8.3999999999999995E-3</v>
      </c>
    </row>
    <row r="19" spans="1:11">
      <c r="A19" t="s">
        <v>46</v>
      </c>
    </row>
    <row r="20" spans="1:11">
      <c r="A20" t="s">
        <v>232</v>
      </c>
      <c r="C20" t="s">
        <v>282</v>
      </c>
    </row>
    <row r="22" spans="1:11">
      <c r="C22" t="s">
        <v>7</v>
      </c>
      <c r="D22" t="s">
        <v>294</v>
      </c>
      <c r="E22" t="s">
        <v>286</v>
      </c>
      <c r="F22" t="s">
        <v>295</v>
      </c>
      <c r="G22" t="s">
        <v>296</v>
      </c>
      <c r="H22" t="s">
        <v>297</v>
      </c>
      <c r="K22" t="s">
        <v>231</v>
      </c>
    </row>
    <row r="23" spans="1:11">
      <c r="B23">
        <v>5</v>
      </c>
      <c r="C23">
        <v>0.55159999999999998</v>
      </c>
      <c r="D23">
        <v>1.46E-2</v>
      </c>
      <c r="E23">
        <v>1.3226</v>
      </c>
      <c r="F23">
        <v>2.5000000000000001E-2</v>
      </c>
      <c r="G23">
        <v>0.77100000000000002</v>
      </c>
      <c r="H23">
        <v>1.3299999999999999E-2</v>
      </c>
      <c r="K23">
        <v>0.5161</v>
      </c>
    </row>
    <row r="24" spans="1:11">
      <c r="B24">
        <v>10</v>
      </c>
      <c r="C24">
        <v>0.59189999999999998</v>
      </c>
      <c r="D24">
        <v>1.37E-2</v>
      </c>
      <c r="E24">
        <v>1.3887</v>
      </c>
      <c r="F24">
        <v>2.4199999999999999E-2</v>
      </c>
      <c r="G24">
        <v>0.79679999999999995</v>
      </c>
      <c r="H24">
        <v>1.29E-2</v>
      </c>
      <c r="K24">
        <v>0.80640000000000001</v>
      </c>
    </row>
    <row r="25" spans="1:11">
      <c r="B25">
        <v>20</v>
      </c>
      <c r="C25">
        <v>0.59030000000000005</v>
      </c>
      <c r="D25">
        <v>1.44E-2</v>
      </c>
      <c r="E25">
        <v>1.3838999999999999</v>
      </c>
      <c r="F25">
        <v>2.5399999999999999E-2</v>
      </c>
      <c r="G25">
        <v>0.79349999999999998</v>
      </c>
      <c r="H25">
        <v>1.32E-2</v>
      </c>
      <c r="K25">
        <v>0.70960000000000001</v>
      </c>
    </row>
    <row r="26" spans="1:11">
      <c r="B26" s="8">
        <v>50</v>
      </c>
      <c r="C26" s="8">
        <v>0.59840000000000004</v>
      </c>
      <c r="D26" s="8">
        <v>1.34E-2</v>
      </c>
      <c r="E26" s="8">
        <v>1.3903000000000001</v>
      </c>
      <c r="F26" s="8">
        <v>2.3800000000000002E-2</v>
      </c>
      <c r="G26" s="8">
        <v>0.79190000000000005</v>
      </c>
      <c r="H26" s="8">
        <v>1.2800000000000001E-2</v>
      </c>
      <c r="K26">
        <v>0.64510000000000001</v>
      </c>
    </row>
    <row r="27" spans="1:11">
      <c r="B27">
        <v>100</v>
      </c>
      <c r="C27">
        <v>0.59350000000000003</v>
      </c>
      <c r="D27">
        <v>1.3899999999999999E-2</v>
      </c>
      <c r="E27">
        <v>1.3806</v>
      </c>
      <c r="F27">
        <v>2.4899999999999999E-2</v>
      </c>
      <c r="G27">
        <v>0.78710000000000002</v>
      </c>
      <c r="H27">
        <v>1.32E-2</v>
      </c>
      <c r="K27">
        <v>0.70960000000000001</v>
      </c>
    </row>
    <row r="28" spans="1:11">
      <c r="B28">
        <v>200</v>
      </c>
      <c r="C28">
        <v>0.60809999999999997</v>
      </c>
      <c r="D28">
        <v>1.3899999999999999E-2</v>
      </c>
      <c r="E28">
        <v>1.4065000000000001</v>
      </c>
      <c r="F28">
        <v>2.3800000000000002E-2</v>
      </c>
      <c r="G28">
        <v>0.7984</v>
      </c>
      <c r="H28">
        <v>1.23E-2</v>
      </c>
      <c r="K28">
        <v>0.64510000000000001</v>
      </c>
    </row>
    <row r="30" spans="1:11">
      <c r="A30" t="s">
        <v>40</v>
      </c>
    </row>
    <row r="31" spans="1:11">
      <c r="A31" t="s">
        <v>244</v>
      </c>
    </row>
    <row r="32" spans="1:11">
      <c r="E32" t="s">
        <v>284</v>
      </c>
    </row>
    <row r="33" spans="1:8">
      <c r="C33" t="s">
        <v>7</v>
      </c>
      <c r="D33" t="s">
        <v>294</v>
      </c>
      <c r="E33" t="s">
        <v>286</v>
      </c>
      <c r="F33" t="s">
        <v>295</v>
      </c>
      <c r="G33" t="s">
        <v>296</v>
      </c>
      <c r="H33" t="s">
        <v>297</v>
      </c>
    </row>
    <row r="34" spans="1:8">
      <c r="B34" s="12">
        <v>1</v>
      </c>
      <c r="C34">
        <v>0.66610000000000003</v>
      </c>
      <c r="D34">
        <v>1.47E-2</v>
      </c>
      <c r="E34">
        <v>1.5</v>
      </c>
      <c r="F34">
        <v>2.3400000000000001E-2</v>
      </c>
      <c r="G34">
        <v>0.83389999999999997</v>
      </c>
      <c r="H34">
        <v>1.17E-2</v>
      </c>
    </row>
    <row r="35" spans="1:8">
      <c r="B35" t="s">
        <v>374</v>
      </c>
      <c r="C35">
        <v>0.55810000000000004</v>
      </c>
      <c r="D35">
        <v>1.5699999999999999E-2</v>
      </c>
      <c r="E35">
        <v>1.3177000000000001</v>
      </c>
      <c r="F35">
        <v>2.8799999999999999E-2</v>
      </c>
      <c r="G35">
        <v>0.75970000000000004</v>
      </c>
      <c r="H35">
        <v>1.55E-2</v>
      </c>
    </row>
    <row r="36" spans="1:8">
      <c r="B36">
        <v>5</v>
      </c>
      <c r="C36">
        <v>0.5968</v>
      </c>
      <c r="D36">
        <v>1.4E-2</v>
      </c>
      <c r="E36">
        <v>1.3596999999999999</v>
      </c>
      <c r="F36">
        <v>2.5700000000000001E-2</v>
      </c>
      <c r="G36">
        <v>0.76290000000000002</v>
      </c>
      <c r="H36">
        <v>1.3599999999999999E-2</v>
      </c>
    </row>
    <row r="37" spans="1:8">
      <c r="B37" s="8">
        <v>10</v>
      </c>
      <c r="C37" s="8">
        <v>0.59840000000000004</v>
      </c>
      <c r="D37" s="8">
        <v>1.34E-2</v>
      </c>
      <c r="E37" s="8">
        <v>1.3903000000000001</v>
      </c>
      <c r="F37" s="8">
        <v>2.3800000000000002E-2</v>
      </c>
      <c r="G37" s="8">
        <v>0.79190000000000005</v>
      </c>
      <c r="H37" s="8">
        <v>1.2800000000000001E-2</v>
      </c>
    </row>
    <row r="38" spans="1:8">
      <c r="B38">
        <v>20</v>
      </c>
      <c r="C38">
        <v>0.58389999999999997</v>
      </c>
      <c r="D38">
        <v>1.2699999999999999E-2</v>
      </c>
      <c r="E38">
        <v>1.3661000000000001</v>
      </c>
      <c r="F38">
        <v>2.2499999999999999E-2</v>
      </c>
      <c r="G38">
        <v>0.7823</v>
      </c>
      <c r="H38">
        <v>1.21E-2</v>
      </c>
    </row>
    <row r="39" spans="1:8">
      <c r="B39">
        <v>50</v>
      </c>
      <c r="C39">
        <v>0.5887</v>
      </c>
      <c r="D39">
        <v>1.29E-2</v>
      </c>
      <c r="E39">
        <v>1.3676999999999999</v>
      </c>
      <c r="F39">
        <v>2.3300000000000001E-2</v>
      </c>
      <c r="G39">
        <v>0.77900000000000003</v>
      </c>
      <c r="H39">
        <v>1.2500000000000001E-2</v>
      </c>
    </row>
    <row r="40" spans="1:8">
      <c r="B40">
        <v>100</v>
      </c>
      <c r="C40">
        <v>0.56130000000000002</v>
      </c>
      <c r="D40">
        <v>1.3599999999999999E-2</v>
      </c>
      <c r="E40">
        <v>1.3048</v>
      </c>
      <c r="F40">
        <v>2.47E-2</v>
      </c>
      <c r="G40">
        <v>0.74350000000000005</v>
      </c>
      <c r="H40">
        <v>1.34E-2</v>
      </c>
    </row>
    <row r="41" spans="1:8">
      <c r="B41">
        <v>3</v>
      </c>
      <c r="C41">
        <v>0.61609999999999998</v>
      </c>
      <c r="D41">
        <v>1.4E-2</v>
      </c>
      <c r="E41">
        <v>1.4113</v>
      </c>
      <c r="F41">
        <v>2.4799999999999999E-2</v>
      </c>
      <c r="G41">
        <v>0.79520000000000002</v>
      </c>
      <c r="H41">
        <v>1.2800000000000001E-2</v>
      </c>
    </row>
    <row r="42" spans="1:8">
      <c r="A42" t="s">
        <v>233</v>
      </c>
    </row>
    <row r="43" spans="1:8">
      <c r="A43" t="s">
        <v>245</v>
      </c>
    </row>
    <row r="45" spans="1:8">
      <c r="C45" t="s">
        <v>7</v>
      </c>
      <c r="D45" t="s">
        <v>294</v>
      </c>
      <c r="E45" t="s">
        <v>286</v>
      </c>
      <c r="F45" t="s">
        <v>295</v>
      </c>
      <c r="G45" t="s">
        <v>296</v>
      </c>
      <c r="H45" t="s">
        <v>297</v>
      </c>
    </row>
    <row r="46" spans="1:8">
      <c r="B46" t="s">
        <v>234</v>
      </c>
      <c r="C46">
        <v>0.59840000000000004</v>
      </c>
      <c r="D46">
        <v>1.34E-2</v>
      </c>
      <c r="E46">
        <v>1.3903000000000001</v>
      </c>
      <c r="F46">
        <v>2.3800000000000002E-2</v>
      </c>
      <c r="G46">
        <v>0.79190000000000005</v>
      </c>
      <c r="H46">
        <v>1.2800000000000001E-2</v>
      </c>
    </row>
    <row r="47" spans="1:8">
      <c r="B47" t="s">
        <v>235</v>
      </c>
      <c r="C47">
        <v>0.59519999999999995</v>
      </c>
      <c r="D47">
        <v>1.44E-2</v>
      </c>
      <c r="E47">
        <v>1.35</v>
      </c>
      <c r="F47">
        <v>2.6200000000000001E-2</v>
      </c>
      <c r="G47">
        <v>0.75480000000000003</v>
      </c>
      <c r="H47">
        <v>1.37E-2</v>
      </c>
    </row>
    <row r="48" spans="1:8">
      <c r="B48" s="16" t="s">
        <v>236</v>
      </c>
      <c r="C48" s="8">
        <v>0.63390000000000002</v>
      </c>
      <c r="D48" s="8">
        <v>1.4E-2</v>
      </c>
      <c r="E48" s="8">
        <v>1.4177</v>
      </c>
      <c r="F48" s="8">
        <v>2.5000000000000001E-2</v>
      </c>
      <c r="G48" s="8">
        <v>0.78390000000000004</v>
      </c>
      <c r="H48" s="8">
        <v>1.2999999999999999E-2</v>
      </c>
    </row>
    <row r="49" spans="1:8">
      <c r="B49" t="s">
        <v>237</v>
      </c>
      <c r="C49">
        <v>0.58550000000000002</v>
      </c>
      <c r="D49">
        <v>1.3899999999999999E-2</v>
      </c>
      <c r="E49">
        <v>1.3403</v>
      </c>
      <c r="F49">
        <v>2.5100000000000001E-2</v>
      </c>
      <c r="G49">
        <v>0.75480000000000003</v>
      </c>
      <c r="H49">
        <v>1.2999999999999999E-2</v>
      </c>
    </row>
    <row r="54" spans="1:8">
      <c r="A54" t="s">
        <v>221</v>
      </c>
    </row>
    <row r="55" spans="1:8">
      <c r="A55" t="s">
        <v>246</v>
      </c>
    </row>
    <row r="56" spans="1:8">
      <c r="A56" t="s">
        <v>247</v>
      </c>
    </row>
    <row r="58" spans="1:8">
      <c r="B58" t="s">
        <v>242</v>
      </c>
      <c r="C58" t="s">
        <v>243</v>
      </c>
      <c r="D58" t="s">
        <v>45</v>
      </c>
      <c r="E58" t="s">
        <v>250</v>
      </c>
      <c r="F58" t="s">
        <v>251</v>
      </c>
    </row>
    <row r="59" spans="1:8">
      <c r="A59" t="s">
        <v>234</v>
      </c>
      <c r="B59">
        <v>705719</v>
      </c>
      <c r="C59">
        <v>600535</v>
      </c>
      <c r="D59">
        <v>1306254</v>
      </c>
      <c r="E59">
        <v>565260</v>
      </c>
      <c r="F59" s="12">
        <f>E59/C59</f>
        <v>0.9412607092009625</v>
      </c>
    </row>
    <row r="60" spans="1:8">
      <c r="A60" t="s">
        <v>248</v>
      </c>
      <c r="B60">
        <v>6667</v>
      </c>
      <c r="C60">
        <v>89547</v>
      </c>
      <c r="D60">
        <v>96214</v>
      </c>
      <c r="E60">
        <v>59568</v>
      </c>
      <c r="F60">
        <f>E60/C60</f>
        <v>0.66521491507253172</v>
      </c>
    </row>
    <row r="61" spans="1:8">
      <c r="A61" t="s">
        <v>249</v>
      </c>
      <c r="B61">
        <v>689146</v>
      </c>
      <c r="C61">
        <v>550390</v>
      </c>
      <c r="D61">
        <v>1239536</v>
      </c>
      <c r="E61">
        <v>503128</v>
      </c>
      <c r="F61" s="12">
        <f>E61/C61</f>
        <v>0.91412998055923977</v>
      </c>
    </row>
    <row r="62" spans="1:8">
      <c r="A62" t="s">
        <v>252</v>
      </c>
      <c r="B62">
        <f>B59+B60+B61</f>
        <v>1401532</v>
      </c>
      <c r="C62">
        <f>C59+C60+C61</f>
        <v>1240472</v>
      </c>
      <c r="D62">
        <f>D59+D60+D61</f>
        <v>2642004</v>
      </c>
      <c r="E62">
        <f>E59+E60+E61</f>
        <v>1127956</v>
      </c>
    </row>
    <row r="66" spans="1:5">
      <c r="B66" t="s">
        <v>254</v>
      </c>
      <c r="C66" t="s">
        <v>268</v>
      </c>
      <c r="D66" t="s">
        <v>269</v>
      </c>
      <c r="E66" t="s">
        <v>274</v>
      </c>
    </row>
    <row r="67" spans="1:5">
      <c r="A67" s="14" t="s">
        <v>238</v>
      </c>
      <c r="B67" s="13" t="s">
        <v>273</v>
      </c>
      <c r="C67">
        <v>0.14000000000000001</v>
      </c>
      <c r="D67">
        <v>0.28000000000000003</v>
      </c>
      <c r="E67">
        <f>C67*$B$62/1000000+D67*$C$62/1000000</f>
        <v>0.54354664000000008</v>
      </c>
    </row>
    <row r="68" spans="1:5">
      <c r="A68" s="14" t="s">
        <v>239</v>
      </c>
      <c r="B68" s="13" t="s">
        <v>256</v>
      </c>
      <c r="C68">
        <v>0.43</v>
      </c>
      <c r="D68">
        <v>0.87</v>
      </c>
      <c r="E68">
        <f t="shared" ref="E68:E71" si="0">C68*$B$62/1000000+D68*$C$62/1000000</f>
        <v>1.6818693999999998</v>
      </c>
    </row>
    <row r="69" spans="1:5">
      <c r="A69" s="14" t="s">
        <v>280</v>
      </c>
      <c r="B69" s="13" t="s">
        <v>275</v>
      </c>
      <c r="C69">
        <v>1.5</v>
      </c>
      <c r="D69">
        <v>9</v>
      </c>
      <c r="E69">
        <f t="shared" si="0"/>
        <v>13.266546000000002</v>
      </c>
    </row>
    <row r="70" spans="1:5">
      <c r="A70" t="s">
        <v>277</v>
      </c>
      <c r="B70" s="13" t="s">
        <v>276</v>
      </c>
      <c r="C70">
        <v>1.5</v>
      </c>
      <c r="D70">
        <v>7.5</v>
      </c>
      <c r="E70">
        <f t="shared" si="0"/>
        <v>11.405837999999999</v>
      </c>
    </row>
    <row r="71" spans="1:5">
      <c r="A71" t="s">
        <v>278</v>
      </c>
      <c r="B71" s="13" t="s">
        <v>279</v>
      </c>
      <c r="C71">
        <v>2</v>
      </c>
      <c r="D71">
        <v>12</v>
      </c>
      <c r="E71">
        <f t="shared" si="0"/>
        <v>17.688728000000001</v>
      </c>
    </row>
    <row r="72" spans="1:5">
      <c r="A72" t="s">
        <v>257</v>
      </c>
      <c r="B72" s="13" t="s">
        <v>258</v>
      </c>
      <c r="C72">
        <v>5</v>
      </c>
      <c r="D72">
        <v>30</v>
      </c>
      <c r="E72">
        <f t="shared" ref="E72:E79" si="1">C72*$B$62/1000000+D72*$C$62/1000000</f>
        <v>44.221820000000001</v>
      </c>
    </row>
    <row r="73" spans="1:5">
      <c r="A73" t="s">
        <v>259</v>
      </c>
      <c r="B73" s="13" t="s">
        <v>260</v>
      </c>
      <c r="C73">
        <v>5</v>
      </c>
      <c r="D73">
        <v>30</v>
      </c>
      <c r="E73">
        <f t="shared" si="1"/>
        <v>44.221820000000001</v>
      </c>
    </row>
    <row r="74" spans="1:5">
      <c r="A74" s="14" t="s">
        <v>261</v>
      </c>
      <c r="B74" s="13" t="s">
        <v>262</v>
      </c>
      <c r="C74">
        <v>2</v>
      </c>
      <c r="D74">
        <v>10</v>
      </c>
      <c r="E74">
        <f t="shared" si="1"/>
        <v>15.207784</v>
      </c>
    </row>
    <row r="75" spans="1:5">
      <c r="A75" t="s">
        <v>255</v>
      </c>
      <c r="B75" s="13" t="s">
        <v>263</v>
      </c>
      <c r="C75">
        <v>5</v>
      </c>
      <c r="D75">
        <v>25</v>
      </c>
      <c r="E75">
        <f t="shared" si="1"/>
        <v>38.019460000000002</v>
      </c>
    </row>
    <row r="76" spans="1:5">
      <c r="A76" s="14" t="s">
        <v>264</v>
      </c>
      <c r="B76" s="13" t="s">
        <v>265</v>
      </c>
      <c r="C76">
        <v>0.32</v>
      </c>
      <c r="D76">
        <v>1.28</v>
      </c>
      <c r="E76">
        <f t="shared" si="1"/>
        <v>2.0362944000000001</v>
      </c>
    </row>
    <row r="77" spans="1:5">
      <c r="A77" t="s">
        <v>266</v>
      </c>
      <c r="B77" s="13" t="s">
        <v>267</v>
      </c>
      <c r="C77">
        <v>1.48</v>
      </c>
      <c r="D77">
        <v>4.42</v>
      </c>
      <c r="E77">
        <f t="shared" si="1"/>
        <v>7.5571535999999995</v>
      </c>
    </row>
    <row r="78" spans="1:5">
      <c r="A78" t="s">
        <v>272</v>
      </c>
      <c r="B78" s="13" t="s">
        <v>270</v>
      </c>
      <c r="C78">
        <v>0.95</v>
      </c>
      <c r="D78">
        <v>4</v>
      </c>
      <c r="E78">
        <f t="shared" si="1"/>
        <v>6.2933433999999995</v>
      </c>
    </row>
    <row r="79" spans="1:5">
      <c r="A79" t="s">
        <v>253</v>
      </c>
      <c r="B79" s="13" t="s">
        <v>271</v>
      </c>
      <c r="C79">
        <v>3</v>
      </c>
      <c r="D79">
        <v>15</v>
      </c>
      <c r="E79">
        <f t="shared" si="1"/>
        <v>22.811675999999999</v>
      </c>
    </row>
    <row r="80" spans="1:5">
      <c r="E80">
        <f>SUM(E67:E79)</f>
        <v>224.95587944000002</v>
      </c>
    </row>
    <row r="81" spans="1:7">
      <c r="A81" t="s">
        <v>282</v>
      </c>
    </row>
    <row r="82" spans="1:7">
      <c r="B82" t="s">
        <v>7</v>
      </c>
      <c r="C82" t="s">
        <v>294</v>
      </c>
      <c r="D82" t="s">
        <v>286</v>
      </c>
      <c r="E82" t="s">
        <v>295</v>
      </c>
      <c r="F82" t="s">
        <v>296</v>
      </c>
      <c r="G82" t="s">
        <v>297</v>
      </c>
    </row>
    <row r="83" spans="1:7">
      <c r="A83" t="s">
        <v>238</v>
      </c>
      <c r="B83" s="17" t="s">
        <v>327</v>
      </c>
      <c r="C83" t="s">
        <v>304</v>
      </c>
      <c r="D83" t="s">
        <v>287</v>
      </c>
      <c r="E83" t="s">
        <v>305</v>
      </c>
      <c r="F83" t="s">
        <v>306</v>
      </c>
      <c r="G83" t="s">
        <v>307</v>
      </c>
    </row>
    <row r="84" spans="1:7">
      <c r="A84" t="s">
        <v>239</v>
      </c>
      <c r="B84" t="s">
        <v>308</v>
      </c>
      <c r="C84" t="s">
        <v>309</v>
      </c>
      <c r="D84" t="s">
        <v>310</v>
      </c>
      <c r="E84" t="s">
        <v>311</v>
      </c>
      <c r="F84" t="s">
        <v>312</v>
      </c>
      <c r="G84" t="s">
        <v>313</v>
      </c>
    </row>
    <row r="85" spans="1:7">
      <c r="A85" t="s">
        <v>280</v>
      </c>
      <c r="B85" t="s">
        <v>285</v>
      </c>
      <c r="C85" t="s">
        <v>314</v>
      </c>
      <c r="D85" t="s">
        <v>315</v>
      </c>
      <c r="E85" t="s">
        <v>316</v>
      </c>
      <c r="F85" t="s">
        <v>317</v>
      </c>
      <c r="G85" t="s">
        <v>318</v>
      </c>
    </row>
    <row r="86" spans="1:7">
      <c r="A86" t="s">
        <v>264</v>
      </c>
      <c r="B86" t="s">
        <v>319</v>
      </c>
      <c r="C86" t="s">
        <v>320</v>
      </c>
      <c r="D86" t="s">
        <v>321</v>
      </c>
      <c r="E86" t="s">
        <v>322</v>
      </c>
      <c r="F86" t="s">
        <v>323</v>
      </c>
      <c r="G86" t="s">
        <v>324</v>
      </c>
    </row>
    <row r="87" spans="1:7">
      <c r="A87" t="s">
        <v>289</v>
      </c>
      <c r="B87" t="s">
        <v>298</v>
      </c>
      <c r="C87" t="s">
        <v>299</v>
      </c>
      <c r="D87" t="s">
        <v>300</v>
      </c>
      <c r="E87" t="s">
        <v>301</v>
      </c>
      <c r="F87" t="s">
        <v>302</v>
      </c>
      <c r="G87" t="s">
        <v>303</v>
      </c>
    </row>
    <row r="96" spans="1:7">
      <c r="B9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E092-64D7-4C9A-B34B-6148BF49E83C}">
  <dimension ref="A1:M101"/>
  <sheetViews>
    <sheetView tabSelected="1" topLeftCell="A61" zoomScale="130" zoomScaleNormal="130" workbookViewId="0">
      <selection activeCell="F70" sqref="F70"/>
    </sheetView>
  </sheetViews>
  <sheetFormatPr defaultRowHeight="14"/>
  <cols>
    <col min="1" max="1" width="14.25" customWidth="1"/>
    <col min="2" max="2" width="14.33203125" customWidth="1"/>
    <col min="3" max="3" width="14.5" customWidth="1"/>
    <col min="4" max="4" width="12.83203125" customWidth="1"/>
    <col min="5" max="5" width="14.08203125" customWidth="1"/>
    <col min="6" max="6" width="13.1640625" customWidth="1"/>
    <col min="7" max="7" width="14.08203125" customWidth="1"/>
    <col min="8" max="8" width="13" customWidth="1"/>
    <col min="9" max="9" width="12.83203125" customWidth="1"/>
    <col min="10" max="10" width="12.4140625" customWidth="1"/>
    <col min="11" max="11" width="12.83203125" customWidth="1"/>
    <col min="12" max="12" width="11.58203125" customWidth="1"/>
    <col min="13" max="13" width="13.25" customWidth="1"/>
  </cols>
  <sheetData>
    <row r="1" spans="1:13">
      <c r="A1" t="s">
        <v>229</v>
      </c>
      <c r="C1" t="s">
        <v>281</v>
      </c>
    </row>
    <row r="2" spans="1:13">
      <c r="A2" t="s">
        <v>213</v>
      </c>
    </row>
    <row r="4" spans="1:13">
      <c r="A4" t="s">
        <v>230</v>
      </c>
    </row>
    <row r="5" spans="1:13">
      <c r="A5" t="s">
        <v>240</v>
      </c>
      <c r="D5" t="s">
        <v>283</v>
      </c>
    </row>
    <row r="7" spans="1:13">
      <c r="D7" t="s">
        <v>7</v>
      </c>
      <c r="E7" t="s">
        <v>375</v>
      </c>
      <c r="F7" t="s">
        <v>376</v>
      </c>
      <c r="G7" t="s">
        <v>377</v>
      </c>
      <c r="H7" t="s">
        <v>378</v>
      </c>
      <c r="I7" t="s">
        <v>379</v>
      </c>
      <c r="J7" t="s">
        <v>380</v>
      </c>
      <c r="K7" t="s">
        <v>381</v>
      </c>
      <c r="L7" t="s">
        <v>382</v>
      </c>
      <c r="M7" t="s">
        <v>383</v>
      </c>
    </row>
    <row r="8" spans="1:13">
      <c r="B8" t="s">
        <v>1</v>
      </c>
      <c r="C8" t="s">
        <v>2</v>
      </c>
      <c r="D8">
        <v>0.27739999999999998</v>
      </c>
      <c r="E8">
        <v>8.9999999999999993E-3</v>
      </c>
      <c r="F8">
        <v>2.4664000000000001</v>
      </c>
      <c r="G8">
        <v>0.03</v>
      </c>
      <c r="H8">
        <v>0.89490000000000003</v>
      </c>
      <c r="I8">
        <v>8.3999999999999995E-3</v>
      </c>
      <c r="J8">
        <v>0.77849999999999997</v>
      </c>
      <c r="K8">
        <v>1.0500000000000001E-2</v>
      </c>
      <c r="L8">
        <v>0.51570000000000005</v>
      </c>
      <c r="M8">
        <v>1.11E-2</v>
      </c>
    </row>
    <row r="9" spans="1:13">
      <c r="C9" t="s">
        <v>3</v>
      </c>
      <c r="D9">
        <v>0.255</v>
      </c>
      <c r="E9">
        <v>0.01</v>
      </c>
      <c r="F9">
        <v>1.8680000000000001</v>
      </c>
      <c r="G9">
        <v>3.9399999999999998E-2</v>
      </c>
      <c r="H9">
        <v>0.66890000000000005</v>
      </c>
      <c r="I9">
        <v>1.2500000000000001E-2</v>
      </c>
      <c r="J9">
        <v>0.55589999999999995</v>
      </c>
      <c r="K9">
        <v>1.2800000000000001E-2</v>
      </c>
      <c r="L9">
        <v>0.3881</v>
      </c>
      <c r="M9">
        <v>1.2200000000000001E-2</v>
      </c>
    </row>
    <row r="10" spans="1:13">
      <c r="C10" t="s">
        <v>4</v>
      </c>
      <c r="D10">
        <v>0.40600000000000003</v>
      </c>
      <c r="E10">
        <v>0.01</v>
      </c>
      <c r="F10">
        <v>2.9653</v>
      </c>
      <c r="G10">
        <v>2.5399999999999999E-2</v>
      </c>
      <c r="H10">
        <v>0.9597</v>
      </c>
      <c r="I10">
        <v>5.1000000000000004E-3</v>
      </c>
      <c r="J10">
        <v>0.89039999999999997</v>
      </c>
      <c r="K10">
        <v>8.0000000000000002E-3</v>
      </c>
      <c r="L10">
        <v>0.70920000000000005</v>
      </c>
      <c r="M10">
        <v>9.7000000000000003E-3</v>
      </c>
    </row>
    <row r="11" spans="1:13">
      <c r="B11" s="8" t="s">
        <v>48</v>
      </c>
      <c r="C11" t="s">
        <v>2</v>
      </c>
      <c r="D11">
        <v>0.28860000000000002</v>
      </c>
      <c r="E11">
        <v>8.8000000000000005E-3</v>
      </c>
      <c r="F11">
        <v>2.4988999999999999</v>
      </c>
      <c r="G11">
        <v>3.0499999999999999E-2</v>
      </c>
      <c r="H11">
        <v>0.8881</v>
      </c>
      <c r="I11">
        <v>8.6999999999999994E-3</v>
      </c>
      <c r="J11">
        <v>0.77959999999999996</v>
      </c>
      <c r="K11">
        <v>1.0800000000000001E-2</v>
      </c>
      <c r="L11">
        <v>0.54249999999999998</v>
      </c>
      <c r="M11">
        <v>1.12E-2</v>
      </c>
    </row>
    <row r="12" spans="1:13">
      <c r="C12" t="s">
        <v>3</v>
      </c>
      <c r="D12">
        <v>0.27739999999999998</v>
      </c>
      <c r="E12">
        <v>9.4999999999999998E-3</v>
      </c>
      <c r="F12">
        <v>2.0670999999999999</v>
      </c>
      <c r="G12">
        <v>3.6700000000000003E-2</v>
      </c>
      <c r="H12">
        <v>0.72040000000000004</v>
      </c>
      <c r="I12">
        <v>1.15E-2</v>
      </c>
      <c r="J12">
        <v>0.61629999999999996</v>
      </c>
      <c r="K12">
        <v>1.18E-2</v>
      </c>
      <c r="L12">
        <v>0.45300000000000001</v>
      </c>
      <c r="M12">
        <v>1.1299999999999999E-2</v>
      </c>
    </row>
    <row r="13" spans="1:13">
      <c r="C13" s="8" t="s">
        <v>4</v>
      </c>
      <c r="D13" s="8">
        <v>0.41499999999999998</v>
      </c>
      <c r="E13" s="8">
        <v>9.9000000000000008E-3</v>
      </c>
      <c r="F13" s="8">
        <v>2.9933000000000001</v>
      </c>
      <c r="G13" s="8">
        <v>2.5899999999999999E-2</v>
      </c>
      <c r="H13" s="8">
        <v>0.96530000000000005</v>
      </c>
      <c r="I13" s="8">
        <v>4.5999999999999999E-3</v>
      </c>
      <c r="J13" s="8">
        <v>0.89259999999999995</v>
      </c>
      <c r="K13" s="8">
        <v>8.0999999999999996E-3</v>
      </c>
      <c r="L13" s="8">
        <v>0.72040000000000004</v>
      </c>
      <c r="M13" s="8">
        <v>0.01</v>
      </c>
    </row>
    <row r="14" spans="1:13">
      <c r="B14" s="9" t="s">
        <v>231</v>
      </c>
      <c r="C14" t="s">
        <v>2</v>
      </c>
      <c r="D14">
        <v>0.30309999999999998</v>
      </c>
      <c r="E14">
        <v>7.0000000000000001E-3</v>
      </c>
      <c r="F14">
        <v>2.6040000000000001</v>
      </c>
      <c r="G14">
        <v>1.7600000000000001E-2</v>
      </c>
      <c r="H14">
        <v>0.9083</v>
      </c>
      <c r="I14">
        <v>4.0000000000000001E-3</v>
      </c>
      <c r="J14">
        <v>0.85009999999999997</v>
      </c>
      <c r="K14">
        <v>5.1999999999999998E-3</v>
      </c>
      <c r="L14">
        <v>0.54249999999999998</v>
      </c>
      <c r="M14">
        <v>6.4999999999999997E-3</v>
      </c>
    </row>
    <row r="15" spans="1:13">
      <c r="C15" s="9" t="s">
        <v>3</v>
      </c>
      <c r="D15" s="9">
        <v>0.5615</v>
      </c>
      <c r="E15" s="9">
        <v>7.3000000000000001E-3</v>
      </c>
      <c r="F15" s="9">
        <v>3.2159</v>
      </c>
      <c r="G15" s="9">
        <v>1.9199999999999998E-2</v>
      </c>
      <c r="H15" s="9">
        <v>0.97870000000000001</v>
      </c>
      <c r="I15" s="9">
        <v>3.7000000000000002E-3</v>
      </c>
      <c r="J15" s="9">
        <v>0.89259999999999995</v>
      </c>
      <c r="K15" s="9">
        <v>5.7000000000000002E-3</v>
      </c>
      <c r="L15" s="9">
        <v>0.78300000000000003</v>
      </c>
      <c r="M15" s="9">
        <v>7.1999999999999998E-3</v>
      </c>
    </row>
    <row r="16" spans="1:13">
      <c r="C16" t="s">
        <v>4</v>
      </c>
      <c r="D16">
        <v>0.4284</v>
      </c>
      <c r="E16">
        <v>6.0000000000000001E-3</v>
      </c>
      <c r="F16">
        <v>3.0514999999999999</v>
      </c>
      <c r="G16">
        <v>1.4200000000000001E-2</v>
      </c>
      <c r="H16">
        <v>0.98099999999999998</v>
      </c>
      <c r="I16">
        <v>1.8E-3</v>
      </c>
      <c r="J16">
        <v>0.92059999999999997</v>
      </c>
      <c r="K16">
        <v>4.1999999999999997E-3</v>
      </c>
      <c r="L16">
        <v>0.72150000000000003</v>
      </c>
      <c r="M16">
        <v>5.3E-3</v>
      </c>
    </row>
    <row r="19" spans="1:12">
      <c r="A19" t="s">
        <v>46</v>
      </c>
    </row>
    <row r="20" spans="1:12">
      <c r="A20" t="s">
        <v>232</v>
      </c>
      <c r="C20" t="s">
        <v>283</v>
      </c>
      <c r="I20" t="s">
        <v>384</v>
      </c>
    </row>
    <row r="22" spans="1:12">
      <c r="C22" t="s">
        <v>7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 t="s">
        <v>380</v>
      </c>
      <c r="J22" t="s">
        <v>381</v>
      </c>
      <c r="K22" t="s">
        <v>382</v>
      </c>
      <c r="L22" t="s">
        <v>383</v>
      </c>
    </row>
    <row r="23" spans="1:12">
      <c r="B23">
        <v>5</v>
      </c>
      <c r="C23">
        <v>0.34229999999999999</v>
      </c>
      <c r="D23">
        <v>9.7000000000000003E-3</v>
      </c>
      <c r="E23">
        <v>2.7841</v>
      </c>
      <c r="F23">
        <v>2.8199999999999999E-2</v>
      </c>
      <c r="G23">
        <v>0.92730000000000001</v>
      </c>
      <c r="H23">
        <v>6.7999999999999996E-3</v>
      </c>
      <c r="I23">
        <v>0.85570000000000002</v>
      </c>
      <c r="J23">
        <v>8.8000000000000005E-3</v>
      </c>
      <c r="K23">
        <v>0.65880000000000005</v>
      </c>
      <c r="L23">
        <v>1.06E-2</v>
      </c>
    </row>
    <row r="24" spans="1:12">
      <c r="B24">
        <v>10</v>
      </c>
      <c r="C24">
        <v>0.37580000000000002</v>
      </c>
      <c r="D24">
        <v>9.4000000000000004E-3</v>
      </c>
      <c r="E24">
        <v>2.9026999999999998</v>
      </c>
      <c r="F24">
        <v>2.5100000000000001E-2</v>
      </c>
      <c r="G24">
        <v>0.95299999999999996</v>
      </c>
      <c r="H24">
        <v>5.1000000000000004E-3</v>
      </c>
      <c r="I24">
        <v>0.87919999999999998</v>
      </c>
      <c r="J24">
        <v>7.7000000000000002E-3</v>
      </c>
      <c r="K24">
        <v>0.6946</v>
      </c>
      <c r="L24">
        <v>9.7999999999999997E-3</v>
      </c>
    </row>
    <row r="25" spans="1:12">
      <c r="B25">
        <v>20</v>
      </c>
      <c r="C25">
        <v>0.40600000000000003</v>
      </c>
      <c r="D25">
        <v>9.5999999999999992E-3</v>
      </c>
      <c r="E25">
        <v>2.9563999999999999</v>
      </c>
      <c r="F25">
        <v>2.5399999999999999E-2</v>
      </c>
      <c r="G25">
        <v>0.96089999999999998</v>
      </c>
      <c r="H25">
        <v>4.7999999999999996E-3</v>
      </c>
      <c r="I25">
        <v>0.88480000000000003</v>
      </c>
      <c r="J25">
        <v>7.7000000000000002E-3</v>
      </c>
      <c r="K25">
        <v>0.70469999999999999</v>
      </c>
      <c r="L25">
        <v>1.01E-2</v>
      </c>
    </row>
    <row r="26" spans="1:12">
      <c r="B26">
        <v>50</v>
      </c>
      <c r="C26">
        <v>0.41949999999999998</v>
      </c>
      <c r="D26">
        <v>1.06E-2</v>
      </c>
      <c r="E26">
        <v>2.9988999999999999</v>
      </c>
      <c r="F26">
        <v>2.7400000000000001E-2</v>
      </c>
      <c r="G26">
        <v>0.97199999999999998</v>
      </c>
      <c r="H26">
        <v>4.8999999999999998E-3</v>
      </c>
      <c r="I26">
        <v>0.88590000000000002</v>
      </c>
      <c r="J26">
        <v>8.3999999999999995E-3</v>
      </c>
      <c r="K26">
        <v>0.72150000000000003</v>
      </c>
      <c r="L26">
        <v>1.06E-2</v>
      </c>
    </row>
    <row r="27" spans="1:12">
      <c r="B27" s="8">
        <v>100</v>
      </c>
      <c r="C27" s="8">
        <v>0.43730000000000002</v>
      </c>
      <c r="D27" s="8">
        <v>1.06E-2</v>
      </c>
      <c r="E27" s="8">
        <v>3.0402999999999998</v>
      </c>
      <c r="F27" s="8">
        <v>2.76E-2</v>
      </c>
      <c r="G27" s="8">
        <v>0.97760000000000002</v>
      </c>
      <c r="H27" s="8">
        <v>4.4999999999999997E-3</v>
      </c>
      <c r="I27" s="8">
        <v>0.89259999999999995</v>
      </c>
      <c r="J27" s="8">
        <v>8.2000000000000007E-3</v>
      </c>
      <c r="K27" s="8">
        <v>0.73270000000000002</v>
      </c>
      <c r="L27" s="8">
        <v>1.0699999999999999E-2</v>
      </c>
    </row>
    <row r="28" spans="1:12">
      <c r="B28">
        <v>200</v>
      </c>
      <c r="C28">
        <v>0.4284</v>
      </c>
      <c r="D28">
        <v>1.0699999999999999E-2</v>
      </c>
      <c r="E28">
        <v>3.0200999999999998</v>
      </c>
      <c r="F28">
        <v>2.7E-2</v>
      </c>
      <c r="G28">
        <v>0.97650000000000003</v>
      </c>
      <c r="H28">
        <v>4.5999999999999999E-3</v>
      </c>
      <c r="I28">
        <v>0.89149999999999996</v>
      </c>
      <c r="J28">
        <v>8.0999999999999996E-3</v>
      </c>
      <c r="K28">
        <v>0.72370000000000001</v>
      </c>
      <c r="L28">
        <v>1.03E-2</v>
      </c>
    </row>
    <row r="31" spans="1:12">
      <c r="A31" t="s">
        <v>40</v>
      </c>
    </row>
    <row r="32" spans="1:12">
      <c r="A32" t="s">
        <v>244</v>
      </c>
    </row>
    <row r="34" spans="1:12">
      <c r="C34" t="s">
        <v>7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380</v>
      </c>
      <c r="J34" t="s">
        <v>381</v>
      </c>
      <c r="K34" t="s">
        <v>382</v>
      </c>
      <c r="L34" t="s">
        <v>383</v>
      </c>
    </row>
    <row r="35" spans="1:12">
      <c r="B35" s="12">
        <v>1</v>
      </c>
      <c r="C35">
        <v>0.46310000000000001</v>
      </c>
      <c r="D35">
        <v>9.4000000000000004E-3</v>
      </c>
      <c r="E35">
        <v>3.1208</v>
      </c>
      <c r="F35">
        <v>2.5000000000000001E-2</v>
      </c>
      <c r="G35">
        <v>0.98099999999999998</v>
      </c>
      <c r="H35">
        <v>4.4000000000000003E-3</v>
      </c>
      <c r="I35">
        <v>0.92390000000000005</v>
      </c>
      <c r="J35">
        <v>7.7000000000000002E-3</v>
      </c>
      <c r="K35">
        <v>0.75280000000000002</v>
      </c>
      <c r="L35">
        <v>9.9000000000000008E-3</v>
      </c>
    </row>
    <row r="36" spans="1:12">
      <c r="B36" s="4">
        <v>5</v>
      </c>
      <c r="C36" s="8">
        <v>0.44850000000000001</v>
      </c>
      <c r="D36" s="8">
        <v>9.2999999999999992E-3</v>
      </c>
      <c r="E36" s="8">
        <v>3.0962000000000001</v>
      </c>
      <c r="F36" s="8">
        <v>2.4899999999999999E-2</v>
      </c>
      <c r="G36" s="8">
        <v>0.98099999999999998</v>
      </c>
      <c r="H36" s="8">
        <v>4.4000000000000003E-3</v>
      </c>
      <c r="I36" s="8">
        <v>0.91159999999999997</v>
      </c>
      <c r="J36" s="8">
        <v>8.0000000000000002E-3</v>
      </c>
      <c r="K36" s="8">
        <v>0.755</v>
      </c>
      <c r="L36" s="8">
        <v>9.7000000000000003E-3</v>
      </c>
    </row>
    <row r="37" spans="1:12">
      <c r="B37" s="12">
        <v>10</v>
      </c>
      <c r="C37">
        <v>0.4385</v>
      </c>
      <c r="D37">
        <v>9.2999999999999992E-3</v>
      </c>
      <c r="E37">
        <v>3.0794000000000001</v>
      </c>
      <c r="F37">
        <v>2.5499999999999998E-2</v>
      </c>
      <c r="G37">
        <v>0.97760000000000002</v>
      </c>
      <c r="H37">
        <v>4.7999999999999996E-3</v>
      </c>
      <c r="I37">
        <v>0.91049999999999998</v>
      </c>
      <c r="J37">
        <v>8.0999999999999996E-3</v>
      </c>
      <c r="K37">
        <v>0.75280000000000002</v>
      </c>
      <c r="L37">
        <v>9.9000000000000008E-3</v>
      </c>
    </row>
    <row r="38" spans="1:12">
      <c r="B38" s="12">
        <v>20</v>
      </c>
      <c r="C38">
        <v>0.44519999999999998</v>
      </c>
      <c r="D38">
        <v>9.1000000000000004E-3</v>
      </c>
      <c r="E38">
        <v>3.0638000000000001</v>
      </c>
      <c r="F38">
        <v>2.41E-2</v>
      </c>
      <c r="G38">
        <v>0.97870000000000001</v>
      </c>
      <c r="H38">
        <v>4.5999999999999999E-3</v>
      </c>
      <c r="I38">
        <v>0.90039999999999998</v>
      </c>
      <c r="J38">
        <v>7.6E-3</v>
      </c>
      <c r="K38">
        <v>0.73939999999999995</v>
      </c>
      <c r="L38">
        <v>9.4999999999999998E-3</v>
      </c>
    </row>
    <row r="39" spans="1:12">
      <c r="B39" s="12">
        <v>50</v>
      </c>
      <c r="C39">
        <v>0.42620000000000002</v>
      </c>
      <c r="D39">
        <v>0.01</v>
      </c>
      <c r="E39">
        <v>3.0347</v>
      </c>
      <c r="F39">
        <v>2.5899999999999999E-2</v>
      </c>
      <c r="G39">
        <v>0.97540000000000004</v>
      </c>
      <c r="H39">
        <v>4.7999999999999996E-3</v>
      </c>
      <c r="I39">
        <v>0.89259999999999995</v>
      </c>
      <c r="J39">
        <v>8.2000000000000007E-3</v>
      </c>
      <c r="K39">
        <v>0.74050000000000005</v>
      </c>
      <c r="L39">
        <v>1.03E-2</v>
      </c>
    </row>
    <row r="40" spans="1:12">
      <c r="B40" s="12">
        <v>100</v>
      </c>
      <c r="C40">
        <v>0.41160000000000002</v>
      </c>
      <c r="D40">
        <v>9.7000000000000003E-3</v>
      </c>
      <c r="E40">
        <v>2.9687000000000001</v>
      </c>
      <c r="F40">
        <v>2.6100000000000002E-2</v>
      </c>
      <c r="G40">
        <v>0.96199999999999997</v>
      </c>
      <c r="H40">
        <v>5.4999999999999997E-3</v>
      </c>
      <c r="I40">
        <v>0.87580000000000002</v>
      </c>
      <c r="J40">
        <v>8.3000000000000001E-3</v>
      </c>
      <c r="K40">
        <v>0.71919999999999995</v>
      </c>
      <c r="L40">
        <v>1.0200000000000001E-2</v>
      </c>
    </row>
    <row r="42" spans="1:12">
      <c r="A42" t="s">
        <v>233</v>
      </c>
    </row>
    <row r="43" spans="1:12">
      <c r="A43" t="s">
        <v>245</v>
      </c>
    </row>
    <row r="45" spans="1:12">
      <c r="C45" t="s">
        <v>7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  <c r="K45" t="s">
        <v>382</v>
      </c>
      <c r="L45" t="s">
        <v>383</v>
      </c>
    </row>
    <row r="46" spans="1:12">
      <c r="B46" s="12" t="s">
        <v>234</v>
      </c>
      <c r="C46">
        <v>0.4385</v>
      </c>
      <c r="D46">
        <v>9.2999999999999992E-3</v>
      </c>
      <c r="E46">
        <v>3.0794000000000001</v>
      </c>
      <c r="F46">
        <v>2.5499999999999998E-2</v>
      </c>
      <c r="G46">
        <v>0.97760000000000002</v>
      </c>
      <c r="H46">
        <v>4.7999999999999996E-3</v>
      </c>
      <c r="I46">
        <v>0.91049999999999998</v>
      </c>
      <c r="J46">
        <v>8.0999999999999996E-3</v>
      </c>
      <c r="K46">
        <v>0.75280000000000002</v>
      </c>
      <c r="L46">
        <v>9.9000000000000008E-3</v>
      </c>
    </row>
    <row r="47" spans="1:12">
      <c r="B47" s="15" t="s">
        <v>235</v>
      </c>
      <c r="C47">
        <v>0.48320000000000002</v>
      </c>
      <c r="D47">
        <v>1.0200000000000001E-2</v>
      </c>
      <c r="E47">
        <v>3.1610999999999998</v>
      </c>
      <c r="F47">
        <v>2.4400000000000002E-2</v>
      </c>
      <c r="G47">
        <v>0.98209999999999997</v>
      </c>
      <c r="H47">
        <v>4.3E-3</v>
      </c>
      <c r="I47">
        <v>0.91830000000000001</v>
      </c>
      <c r="J47">
        <v>7.4000000000000003E-3</v>
      </c>
      <c r="K47">
        <v>0.77739999999999998</v>
      </c>
      <c r="L47">
        <v>9.4000000000000004E-3</v>
      </c>
    </row>
    <row r="48" spans="1:12">
      <c r="B48" s="15" t="s">
        <v>236</v>
      </c>
      <c r="C48">
        <v>0.4642</v>
      </c>
      <c r="D48">
        <v>1.0500000000000001E-2</v>
      </c>
      <c r="E48">
        <v>3.1364999999999998</v>
      </c>
      <c r="F48">
        <v>2.53E-2</v>
      </c>
      <c r="G48">
        <v>0.98429999999999995</v>
      </c>
      <c r="H48">
        <v>4.1000000000000003E-3</v>
      </c>
      <c r="I48">
        <v>0.92169999999999996</v>
      </c>
      <c r="J48">
        <v>7.7999999999999996E-3</v>
      </c>
      <c r="K48">
        <v>0.76619999999999999</v>
      </c>
      <c r="L48">
        <v>1.01E-2</v>
      </c>
    </row>
    <row r="49" spans="1:12">
      <c r="B49" s="26" t="s">
        <v>237</v>
      </c>
      <c r="C49" s="8">
        <v>0.4899</v>
      </c>
      <c r="D49" s="8">
        <v>1.12E-2</v>
      </c>
      <c r="E49" s="8">
        <v>3.1667000000000001</v>
      </c>
      <c r="F49" s="8">
        <v>2.7199999999999998E-2</v>
      </c>
      <c r="G49" s="8">
        <v>0.97989999999999999</v>
      </c>
      <c r="H49" s="8">
        <v>4.5999999999999999E-3</v>
      </c>
      <c r="I49" s="8">
        <v>0.91949999999999998</v>
      </c>
      <c r="J49" s="8">
        <v>7.7000000000000002E-3</v>
      </c>
      <c r="K49" s="8">
        <v>0.77739999999999998</v>
      </c>
      <c r="L49" s="8">
        <v>1.09E-2</v>
      </c>
    </row>
    <row r="54" spans="1:12">
      <c r="A54" t="s">
        <v>221</v>
      </c>
    </row>
    <row r="55" spans="1:12">
      <c r="A55" t="s">
        <v>246</v>
      </c>
    </row>
    <row r="56" spans="1:12">
      <c r="A56" t="s">
        <v>247</v>
      </c>
    </row>
    <row r="58" spans="1:12">
      <c r="B58" t="s">
        <v>7</v>
      </c>
      <c r="C58" t="s">
        <v>375</v>
      </c>
      <c r="D58" t="s">
        <v>376</v>
      </c>
      <c r="E58" t="s">
        <v>377</v>
      </c>
      <c r="F58" t="s">
        <v>378</v>
      </c>
      <c r="G58" t="s">
        <v>379</v>
      </c>
      <c r="H58" t="s">
        <v>380</v>
      </c>
      <c r="I58" t="s">
        <v>381</v>
      </c>
      <c r="J58" t="s">
        <v>382</v>
      </c>
      <c r="K58" t="s">
        <v>383</v>
      </c>
    </row>
    <row r="59" spans="1:12">
      <c r="A59" s="12" t="s">
        <v>238</v>
      </c>
      <c r="B59" t="s">
        <v>385</v>
      </c>
      <c r="C59" t="s">
        <v>386</v>
      </c>
      <c r="D59" t="s">
        <v>387</v>
      </c>
      <c r="E59" t="s">
        <v>388</v>
      </c>
      <c r="F59" t="s">
        <v>389</v>
      </c>
      <c r="G59" t="s">
        <v>390</v>
      </c>
      <c r="H59" t="s">
        <v>391</v>
      </c>
      <c r="I59" t="s">
        <v>392</v>
      </c>
      <c r="J59" t="s">
        <v>393</v>
      </c>
      <c r="K59" t="s">
        <v>394</v>
      </c>
    </row>
    <row r="60" spans="1:12">
      <c r="A60" t="s">
        <v>239</v>
      </c>
      <c r="B60" t="s">
        <v>395</v>
      </c>
      <c r="C60" t="s">
        <v>396</v>
      </c>
      <c r="D60" t="s">
        <v>431</v>
      </c>
      <c r="E60" t="s">
        <v>397</v>
      </c>
      <c r="F60" t="s">
        <v>398</v>
      </c>
      <c r="G60" t="s">
        <v>399</v>
      </c>
      <c r="H60" t="s">
        <v>400</v>
      </c>
      <c r="I60" t="s">
        <v>401</v>
      </c>
      <c r="J60" t="s">
        <v>402</v>
      </c>
      <c r="K60" t="s">
        <v>403</v>
      </c>
    </row>
    <row r="61" spans="1:12">
      <c r="A61" t="s">
        <v>280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  <c r="J61" t="s">
        <v>412</v>
      </c>
      <c r="K61" t="s">
        <v>413</v>
      </c>
    </row>
    <row r="62" spans="1:12">
      <c r="A62" t="s">
        <v>264</v>
      </c>
      <c r="B62" t="s">
        <v>326</v>
      </c>
      <c r="C62" t="s">
        <v>414</v>
      </c>
      <c r="D62" t="s">
        <v>415</v>
      </c>
      <c r="E62" t="s">
        <v>416</v>
      </c>
      <c r="F62" t="s">
        <v>417</v>
      </c>
      <c r="G62" t="s">
        <v>418</v>
      </c>
      <c r="H62" t="s">
        <v>419</v>
      </c>
      <c r="I62" t="s">
        <v>420</v>
      </c>
      <c r="J62" t="s">
        <v>421</v>
      </c>
      <c r="K62" t="s">
        <v>422</v>
      </c>
    </row>
    <row r="63" spans="1:12">
      <c r="A63" t="s">
        <v>289</v>
      </c>
      <c r="B63" t="s">
        <v>325</v>
      </c>
      <c r="C63" t="s">
        <v>423</v>
      </c>
      <c r="D63" t="s">
        <v>424</v>
      </c>
      <c r="E63" t="s">
        <v>425</v>
      </c>
      <c r="F63" t="s">
        <v>426</v>
      </c>
      <c r="G63" t="s">
        <v>427</v>
      </c>
      <c r="H63" t="s">
        <v>428</v>
      </c>
      <c r="I63" t="s">
        <v>429</v>
      </c>
      <c r="J63" t="s">
        <v>430</v>
      </c>
      <c r="K63" t="s">
        <v>396</v>
      </c>
    </row>
    <row r="66" spans="1:1">
      <c r="A66" t="s">
        <v>432</v>
      </c>
    </row>
    <row r="67" spans="1:1">
      <c r="A67" t="s">
        <v>433</v>
      </c>
    </row>
    <row r="69" spans="1:1">
      <c r="A69" t="s">
        <v>434</v>
      </c>
    </row>
    <row r="70" spans="1:1">
      <c r="A70" t="s">
        <v>435</v>
      </c>
    </row>
    <row r="71" spans="1:1">
      <c r="A71" t="s">
        <v>436</v>
      </c>
    </row>
    <row r="72" spans="1:1">
      <c r="A72" t="s">
        <v>437</v>
      </c>
    </row>
    <row r="73" spans="1:1">
      <c r="A73" t="s">
        <v>438</v>
      </c>
    </row>
    <row r="74" spans="1:1">
      <c r="A74" t="s">
        <v>439</v>
      </c>
    </row>
    <row r="75" spans="1:1">
      <c r="A75" t="s">
        <v>440</v>
      </c>
    </row>
    <row r="76" spans="1:1">
      <c r="A76" t="s">
        <v>441</v>
      </c>
    </row>
    <row r="77" spans="1:1">
      <c r="A77" t="s">
        <v>442</v>
      </c>
    </row>
    <row r="78" spans="1:1">
      <c r="A78" t="s">
        <v>443</v>
      </c>
    </row>
    <row r="79" spans="1:1">
      <c r="A79" t="s">
        <v>444</v>
      </c>
    </row>
    <row r="80" spans="1:1">
      <c r="A80" t="s">
        <v>445</v>
      </c>
    </row>
    <row r="86" spans="1:10">
      <c r="A86" s="19" t="s">
        <v>335</v>
      </c>
      <c r="B86" s="19" t="s">
        <v>336</v>
      </c>
      <c r="C86" s="19" t="s">
        <v>337</v>
      </c>
      <c r="D86" s="19" t="s">
        <v>338</v>
      </c>
      <c r="E86" s="19" t="s">
        <v>339</v>
      </c>
      <c r="F86" s="19" t="s">
        <v>340</v>
      </c>
      <c r="G86" s="19" t="s">
        <v>341</v>
      </c>
      <c r="H86" s="19" t="s">
        <v>342</v>
      </c>
      <c r="I86" s="19" t="s">
        <v>343</v>
      </c>
    </row>
    <row r="87" spans="1:10">
      <c r="A87" t="s">
        <v>366</v>
      </c>
      <c r="J87" s="18"/>
    </row>
    <row r="88" spans="1:10">
      <c r="A88" s="18" t="s">
        <v>328</v>
      </c>
      <c r="B88" s="18" t="s">
        <v>329</v>
      </c>
      <c r="C88" s="18" t="s">
        <v>330</v>
      </c>
      <c r="D88" s="18" t="s">
        <v>331</v>
      </c>
      <c r="E88" s="18" t="s">
        <v>332</v>
      </c>
      <c r="F88" s="18" t="s">
        <v>333</v>
      </c>
      <c r="G88" s="18" t="s">
        <v>333</v>
      </c>
      <c r="H88" s="18" t="s">
        <v>332</v>
      </c>
      <c r="I88" s="18" t="s">
        <v>334</v>
      </c>
      <c r="J88" s="19"/>
    </row>
    <row r="89" spans="1:10">
      <c r="A89" s="24" t="s">
        <v>361</v>
      </c>
      <c r="B89" s="25" t="s">
        <v>362</v>
      </c>
      <c r="C89" s="25" t="s">
        <v>363</v>
      </c>
      <c r="D89" s="25" t="s">
        <v>364</v>
      </c>
      <c r="E89" s="25" t="s">
        <v>349</v>
      </c>
      <c r="F89" s="25" t="s">
        <v>349</v>
      </c>
      <c r="G89" s="25" t="s">
        <v>364</v>
      </c>
      <c r="H89" s="25" t="s">
        <v>363</v>
      </c>
      <c r="I89" s="25" t="s">
        <v>365</v>
      </c>
      <c r="J89" s="19"/>
    </row>
    <row r="90" spans="1:10">
      <c r="A90" s="20"/>
      <c r="B90" s="19"/>
      <c r="C90" s="19"/>
      <c r="D90" s="19"/>
      <c r="E90" s="19"/>
      <c r="F90" s="19"/>
      <c r="G90" s="19"/>
      <c r="H90" s="19"/>
      <c r="I90" s="19"/>
      <c r="J90" s="21"/>
    </row>
    <row r="91" spans="1:10">
      <c r="J91" s="15"/>
    </row>
    <row r="92" spans="1:10">
      <c r="A92" t="s">
        <v>367</v>
      </c>
    </row>
    <row r="93" spans="1:10">
      <c r="A93" s="21" t="s">
        <v>344</v>
      </c>
      <c r="B93" s="21" t="s">
        <v>345</v>
      </c>
      <c r="C93" s="21" t="s">
        <v>346</v>
      </c>
      <c r="D93" s="21" t="s">
        <v>347</v>
      </c>
      <c r="E93" s="21" t="s">
        <v>348</v>
      </c>
      <c r="F93" s="21" t="s">
        <v>349</v>
      </c>
      <c r="G93" s="21" t="s">
        <v>348</v>
      </c>
      <c r="H93" s="21" t="s">
        <v>347</v>
      </c>
      <c r="I93" s="21" t="s">
        <v>350</v>
      </c>
    </row>
    <row r="94" spans="1:10">
      <c r="A94" s="21" t="s">
        <v>351</v>
      </c>
      <c r="B94" s="21" t="s">
        <v>345</v>
      </c>
      <c r="C94" s="21" t="s">
        <v>346</v>
      </c>
      <c r="D94" s="21" t="s">
        <v>347</v>
      </c>
      <c r="E94" s="21" t="s">
        <v>352</v>
      </c>
      <c r="F94" s="21" t="s">
        <v>349</v>
      </c>
      <c r="G94" s="21" t="s">
        <v>352</v>
      </c>
      <c r="H94" s="21" t="s">
        <v>347</v>
      </c>
      <c r="I94" s="21" t="s">
        <v>350</v>
      </c>
      <c r="J94" s="19"/>
    </row>
    <row r="96" spans="1:10">
      <c r="A96" s="22" t="s">
        <v>353</v>
      </c>
      <c r="B96" s="23" t="s">
        <v>354</v>
      </c>
      <c r="C96" s="23" t="s">
        <v>355</v>
      </c>
      <c r="D96" s="23" t="s">
        <v>356</v>
      </c>
      <c r="E96" s="23" t="s">
        <v>357</v>
      </c>
      <c r="F96" s="23" t="s">
        <v>349</v>
      </c>
      <c r="G96" s="23" t="s">
        <v>357</v>
      </c>
      <c r="H96" s="23" t="s">
        <v>356</v>
      </c>
      <c r="I96" s="23" t="s">
        <v>358</v>
      </c>
    </row>
    <row r="97" spans="1:11">
      <c r="A97" s="22" t="s">
        <v>359</v>
      </c>
      <c r="B97" s="23" t="s">
        <v>354</v>
      </c>
      <c r="C97" s="23" t="s">
        <v>355</v>
      </c>
      <c r="D97" s="23" t="s">
        <v>356</v>
      </c>
      <c r="E97" s="23" t="s">
        <v>360</v>
      </c>
      <c r="F97" s="23" t="s">
        <v>349</v>
      </c>
      <c r="G97" s="23" t="s">
        <v>360</v>
      </c>
      <c r="H97" s="23" t="s">
        <v>356</v>
      </c>
      <c r="I97" s="23" t="s">
        <v>358</v>
      </c>
    </row>
    <row r="100" spans="1:11">
      <c r="A100" s="19" t="s">
        <v>368</v>
      </c>
      <c r="B100" s="19" t="s">
        <v>354</v>
      </c>
      <c r="C100" s="19" t="s">
        <v>369</v>
      </c>
      <c r="D100" s="19" t="s">
        <v>370</v>
      </c>
      <c r="E100" s="19" t="s">
        <v>349</v>
      </c>
      <c r="F100" s="19" t="s">
        <v>349</v>
      </c>
      <c r="G100" s="19" t="s">
        <v>370</v>
      </c>
      <c r="H100" s="19" t="s">
        <v>369</v>
      </c>
      <c r="I100" s="19" t="s">
        <v>371</v>
      </c>
      <c r="J100" s="19"/>
      <c r="K100" s="19"/>
    </row>
    <row r="101" spans="1:11">
      <c r="A101" s="19" t="s">
        <v>372</v>
      </c>
      <c r="B101" s="19" t="s">
        <v>354</v>
      </c>
      <c r="C101" s="19" t="s">
        <v>369</v>
      </c>
      <c r="D101" s="19" t="s">
        <v>373</v>
      </c>
      <c r="E101" s="19" t="s">
        <v>349</v>
      </c>
      <c r="F101" s="19" t="s">
        <v>349</v>
      </c>
      <c r="G101" s="19" t="s">
        <v>373</v>
      </c>
      <c r="H101" s="19" t="s">
        <v>369</v>
      </c>
      <c r="I101" s="19" t="s">
        <v>371</v>
      </c>
      <c r="J101" s="19"/>
      <c r="K101" s="1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C55D-5665-4A99-B796-44E61BDF29A5}">
  <dimension ref="A1:F30"/>
  <sheetViews>
    <sheetView topLeftCell="A10" zoomScale="175" zoomScaleNormal="175" workbookViewId="0">
      <selection activeCell="F30" sqref="F30"/>
    </sheetView>
  </sheetViews>
  <sheetFormatPr defaultRowHeight="14"/>
  <cols>
    <col min="1" max="1" width="16.5" customWidth="1"/>
    <col min="4" max="4" width="10.83203125" customWidth="1"/>
    <col min="5" max="5" width="10.75" customWidth="1"/>
  </cols>
  <sheetData>
    <row r="1" spans="1:6">
      <c r="A1" t="s">
        <v>288</v>
      </c>
    </row>
    <row r="3" spans="1:6">
      <c r="A3" t="s">
        <v>247</v>
      </c>
    </row>
    <row r="5" spans="1:6">
      <c r="B5" t="s">
        <v>242</v>
      </c>
      <c r="C5" t="s">
        <v>243</v>
      </c>
      <c r="D5" t="s">
        <v>45</v>
      </c>
      <c r="E5" t="s">
        <v>250</v>
      </c>
      <c r="F5" t="s">
        <v>251</v>
      </c>
    </row>
    <row r="6" spans="1:6">
      <c r="A6" t="s">
        <v>234</v>
      </c>
      <c r="B6">
        <v>705719</v>
      </c>
      <c r="C6">
        <v>600535</v>
      </c>
      <c r="D6">
        <v>1306254</v>
      </c>
      <c r="E6">
        <v>565260</v>
      </c>
      <c r="F6" s="12">
        <f>E6/C6</f>
        <v>0.9412607092009625</v>
      </c>
    </row>
    <row r="7" spans="1:6">
      <c r="A7" t="s">
        <v>248</v>
      </c>
      <c r="B7">
        <v>6667</v>
      </c>
      <c r="C7">
        <v>89547</v>
      </c>
      <c r="D7">
        <v>96214</v>
      </c>
      <c r="E7">
        <v>59568</v>
      </c>
      <c r="F7">
        <f>E7/C7</f>
        <v>0.66521491507253172</v>
      </c>
    </row>
    <row r="8" spans="1:6">
      <c r="A8" t="s">
        <v>249</v>
      </c>
      <c r="B8">
        <v>689146</v>
      </c>
      <c r="C8">
        <v>550390</v>
      </c>
      <c r="D8">
        <v>1239536</v>
      </c>
      <c r="E8">
        <v>503128</v>
      </c>
      <c r="F8" s="12">
        <f>E8/C8</f>
        <v>0.91412998055923977</v>
      </c>
    </row>
    <row r="9" spans="1:6">
      <c r="A9" t="s">
        <v>252</v>
      </c>
      <c r="B9">
        <f>B6+B7+B8</f>
        <v>1401532</v>
      </c>
      <c r="C9">
        <f>C6+C7+C8</f>
        <v>1240472</v>
      </c>
      <c r="D9">
        <f>D6+D7+D8</f>
        <v>2642004</v>
      </c>
      <c r="E9">
        <f>E6+E7+E8</f>
        <v>1127956</v>
      </c>
    </row>
    <row r="13" spans="1:6">
      <c r="B13" t="s">
        <v>254</v>
      </c>
      <c r="C13" t="s">
        <v>268</v>
      </c>
      <c r="D13" t="s">
        <v>269</v>
      </c>
      <c r="E13" t="s">
        <v>274</v>
      </c>
    </row>
    <row r="14" spans="1:6">
      <c r="A14" s="14" t="s">
        <v>238</v>
      </c>
      <c r="B14" s="13" t="s">
        <v>273</v>
      </c>
      <c r="C14">
        <v>0.14000000000000001</v>
      </c>
      <c r="D14">
        <v>0.28000000000000003</v>
      </c>
      <c r="E14">
        <f>C14*$B$61/1000000+D14*$C$61/1000000</f>
        <v>0</v>
      </c>
    </row>
    <row r="15" spans="1:6">
      <c r="A15" s="14" t="s">
        <v>239</v>
      </c>
      <c r="B15" s="13" t="s">
        <v>256</v>
      </c>
      <c r="C15">
        <v>0.43</v>
      </c>
      <c r="D15">
        <v>0.87</v>
      </c>
      <c r="E15">
        <f t="shared" ref="E15:E26" si="0">C15*$B$61/1000000+D15*$C$61/1000000</f>
        <v>0</v>
      </c>
    </row>
    <row r="16" spans="1:6">
      <c r="A16" s="14" t="s">
        <v>280</v>
      </c>
      <c r="B16" s="13" t="s">
        <v>275</v>
      </c>
      <c r="C16">
        <v>1.5</v>
      </c>
      <c r="D16">
        <v>9</v>
      </c>
      <c r="E16">
        <f t="shared" si="0"/>
        <v>0</v>
      </c>
    </row>
    <row r="17" spans="1:5">
      <c r="A17" t="s">
        <v>277</v>
      </c>
      <c r="B17" s="13" t="s">
        <v>276</v>
      </c>
      <c r="C17">
        <v>1.5</v>
      </c>
      <c r="D17">
        <v>7.5</v>
      </c>
      <c r="E17">
        <f t="shared" si="0"/>
        <v>0</v>
      </c>
    </row>
    <row r="18" spans="1:5">
      <c r="A18" t="s">
        <v>278</v>
      </c>
      <c r="B18" s="13" t="s">
        <v>279</v>
      </c>
      <c r="C18">
        <v>2</v>
      </c>
      <c r="D18">
        <v>12</v>
      </c>
      <c r="E18">
        <f t="shared" si="0"/>
        <v>0</v>
      </c>
    </row>
    <row r="19" spans="1:5">
      <c r="A19" t="s">
        <v>257</v>
      </c>
      <c r="B19" s="13" t="s">
        <v>258</v>
      </c>
      <c r="C19">
        <v>5</v>
      </c>
      <c r="D19">
        <v>30</v>
      </c>
      <c r="E19">
        <f t="shared" si="0"/>
        <v>0</v>
      </c>
    </row>
    <row r="20" spans="1:5">
      <c r="A20" t="s">
        <v>259</v>
      </c>
      <c r="B20" s="13" t="s">
        <v>260</v>
      </c>
      <c r="C20">
        <v>5</v>
      </c>
      <c r="D20">
        <v>30</v>
      </c>
      <c r="E20">
        <f t="shared" si="0"/>
        <v>0</v>
      </c>
    </row>
    <row r="21" spans="1:5">
      <c r="A21" s="14" t="s">
        <v>261</v>
      </c>
      <c r="B21" s="13" t="s">
        <v>262</v>
      </c>
      <c r="C21">
        <v>2</v>
      </c>
      <c r="D21">
        <v>10</v>
      </c>
      <c r="E21">
        <f t="shared" si="0"/>
        <v>0</v>
      </c>
    </row>
    <row r="22" spans="1:5">
      <c r="A22" t="s">
        <v>255</v>
      </c>
      <c r="B22" s="13" t="s">
        <v>263</v>
      </c>
      <c r="C22">
        <v>5</v>
      </c>
      <c r="D22">
        <v>25</v>
      </c>
      <c r="E22">
        <f t="shared" si="0"/>
        <v>0</v>
      </c>
    </row>
    <row r="23" spans="1:5">
      <c r="A23" s="14" t="s">
        <v>264</v>
      </c>
      <c r="B23" s="13" t="s">
        <v>265</v>
      </c>
      <c r="C23">
        <v>0.32</v>
      </c>
      <c r="D23">
        <v>1.28</v>
      </c>
      <c r="E23">
        <f t="shared" si="0"/>
        <v>0</v>
      </c>
    </row>
    <row r="24" spans="1:5">
      <c r="A24" t="s">
        <v>266</v>
      </c>
      <c r="B24" s="13" t="s">
        <v>267</v>
      </c>
      <c r="C24">
        <v>1.48</v>
      </c>
      <c r="D24">
        <v>4.42</v>
      </c>
      <c r="E24">
        <f t="shared" si="0"/>
        <v>0</v>
      </c>
    </row>
    <row r="25" spans="1:5">
      <c r="A25" t="s">
        <v>272</v>
      </c>
      <c r="B25" s="13" t="s">
        <v>270</v>
      </c>
      <c r="C25">
        <v>0.95</v>
      </c>
      <c r="D25">
        <v>4</v>
      </c>
      <c r="E25">
        <f t="shared" si="0"/>
        <v>0</v>
      </c>
    </row>
    <row r="26" spans="1:5">
      <c r="A26" t="s">
        <v>253</v>
      </c>
      <c r="B26" s="13" t="s">
        <v>271</v>
      </c>
      <c r="C26">
        <v>3</v>
      </c>
      <c r="D26">
        <v>15</v>
      </c>
      <c r="E26">
        <f t="shared" si="0"/>
        <v>0</v>
      </c>
    </row>
    <row r="27" spans="1:5">
      <c r="E27">
        <f>SUM(E14:E26)</f>
        <v>0</v>
      </c>
    </row>
    <row r="29" spans="1:5">
      <c r="B29" t="s">
        <v>290</v>
      </c>
      <c r="C29" t="s">
        <v>291</v>
      </c>
      <c r="D29" t="s">
        <v>292</v>
      </c>
      <c r="E29" t="s">
        <v>293</v>
      </c>
    </row>
    <row r="30" spans="1:5">
      <c r="A30" t="s">
        <v>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gemini3.5flash(old)</vt:lpstr>
      <vt:lpstr>deepseek4flash(old)</vt:lpstr>
      <vt:lpstr>pbmc20(old)</vt:lpstr>
      <vt:lpstr>hlca(old)</vt:lpstr>
      <vt:lpstr>pbmc_new</vt:lpstr>
      <vt:lpstr>hlca_new</vt:lpstr>
      <vt:lpstr>est.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钦翔 雷</cp:lastModifiedBy>
  <dcterms:created xsi:type="dcterms:W3CDTF">2015-06-05T18:19:34Z</dcterms:created>
  <dcterms:modified xsi:type="dcterms:W3CDTF">2026-08-28T09:49:29Z</dcterms:modified>
</cp:coreProperties>
</file>